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25AE5682-9E59-4B3A-B249-89AF361CD0D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llinearity Test" sheetId="1" r:id="rId1"/>
    <sheet name="Data standardization" sheetId="3" r:id="rId2"/>
    <sheet name="Confirmed Cases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<sst xmlns="http://schemas.openxmlformats.org/spreadsheetml/2006/main" count="298" uniqueCount="156">
  <si>
    <t>Disaster Hazard</t>
  </si>
  <si>
    <t xml:space="preserve">Urban Vulnerability
</t>
  </si>
  <si>
    <t>Demographic Characteristics</t>
  </si>
  <si>
    <t>Agglomeration Degree</t>
  </si>
  <si>
    <t>Mobility</t>
  </si>
  <si>
    <t>Environment</t>
  </si>
  <si>
    <t>Spatial Vulnerability</t>
  </si>
  <si>
    <t>Economic Vulnerability</t>
  </si>
  <si>
    <t>Social Vulnerability</t>
  </si>
  <si>
    <t>id</t>
  </si>
  <si>
    <t>Proportion of Population Aged 65 and Above</t>
  </si>
  <si>
    <t>Proportion of Employment in the Service Industry</t>
  </si>
  <si>
    <t>Population in Poverty</t>
  </si>
  <si>
    <t>Built-up Area Ratio</t>
  </si>
  <si>
    <t>Urbanization Rate</t>
  </si>
  <si>
    <t>Population Density</t>
  </si>
  <si>
    <t>Employment Density</t>
  </si>
  <si>
    <t>Number of Domestic Tourist Arrivals</t>
  </si>
  <si>
    <t>Number of Public Buses (and Trolleybuses) per 10,000 Population</t>
  </si>
  <si>
    <t>Public Transport Usage Rate</t>
  </si>
  <si>
    <t>Highway Passenger Traffic Volume</t>
  </si>
  <si>
    <t>Highway Freight Traffic Volume</t>
  </si>
  <si>
    <t>Private Car Ownership Rate</t>
  </si>
  <si>
    <t>PM2.5 Concentration</t>
  </si>
  <si>
    <t>Relative Humidity</t>
  </si>
  <si>
    <t>Average Temperature</t>
  </si>
  <si>
    <t>Residential Density</t>
  </si>
  <si>
    <t>Density of Daily Life Service Facilities</t>
  </si>
  <si>
    <t>Density of Transportation Facilities</t>
  </si>
  <si>
    <t>Road Network Density</t>
  </si>
  <si>
    <t>Green Coverage Rate of Built-up Area</t>
  </si>
  <si>
    <t>Open Space Density</t>
  </si>
  <si>
    <t>GDP per Capita</t>
  </si>
  <si>
    <t>Unemployment Rate</t>
  </si>
  <si>
    <t>Income Level</t>
  </si>
  <si>
    <t>Income Inequality</t>
  </si>
  <si>
    <t>Per Capita Health Expenditure</t>
  </si>
  <si>
    <t>Health Expenditure as Percentage of GDP</t>
  </si>
  <si>
    <t>Annual Average Savings Deposit Balance per Resident</t>
  </si>
  <si>
    <t>Proportion of Emergency Supplies Reserve Expenditure to GDP (%) (per 10,000 yuan)</t>
  </si>
  <si>
    <t>Number of Physicians (per 10,000 people)</t>
  </si>
  <si>
    <t>Hospital Beds (per 10,000 people)</t>
  </si>
  <si>
    <t>Number of Personnel in Disease Control and Prevention Centers (persons)</t>
  </si>
  <si>
    <t>Density of Neighborhood Committees (units/square kilometer) -- using built-up area as the denominator</t>
  </si>
  <si>
    <t>Mobile Phone Penetration Rate (units per 100 households)</t>
  </si>
  <si>
    <t>Education Level = Number of College Students per 10,000 Population (persons)</t>
  </si>
  <si>
    <t>Basic Social Insurance Coverage Rate</t>
  </si>
  <si>
    <t>Unemployment Insurance Coverage Rate</t>
  </si>
  <si>
    <t>TYPE</t>
  </si>
  <si>
    <t>P</t>
  </si>
  <si>
    <t>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</si>
  <si>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</si>
  <si>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</si>
  <si>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</si>
  <si>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</si>
  <si>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</si>
  <si>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</si>
  <si>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</si>
  <si>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</si>
  <si>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</si>
  <si>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</si>
  <si>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</si>
  <si>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</si>
  <si>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</si>
  <si>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</si>
  <si>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</si>
  <si>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</si>
  <si>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</si>
  <si>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</si>
  <si>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</si>
  <si>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</si>
  <si>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</si>
  <si>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</si>
  <si>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</si>
  <si>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</si>
  <si>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</si>
  <si>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</si>
  <si>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</si>
  <si>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</si>
  <si>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</si>
  <si>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</si>
  <si>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</si>
  <si>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</si>
  <si>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</si>
  <si>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</si>
  <si>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</si>
  <si>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</si>
  <si>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</si>
  <si>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</si>
  <si>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Chengdu</t>
  </si>
  <si>
    <t>Zigong</t>
  </si>
  <si>
    <t>Panzhihua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</si>
  <si>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</si>
  <si>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</si>
  <si>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</si>
  <si>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</si>
  <si>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</si>
  <si>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</si>
  <si>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</si>
  <si>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</si>
  <si>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</si>
  <si>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</si>
  <si>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Guang'an</t>
  </si>
  <si>
    <t>Dazhou</t>
  </si>
  <si>
    <t>Ya'an</t>
  </si>
  <si>
    <t>Bazhong</t>
  </si>
  <si>
    <t>Ziyang</t>
  </si>
  <si>
    <t>Bzhong</t>
  </si>
  <si>
    <t>65岁及以上人口比例</t>
    <phoneticPr fontId="9" type="noConversion"/>
  </si>
  <si>
    <t>服务业就业比例</t>
    <phoneticPr fontId="9" type="noConversion"/>
  </si>
  <si>
    <t>建成面积比</t>
    <phoneticPr fontId="9" type="noConversion"/>
  </si>
  <si>
    <t>城市化率</t>
    <phoneticPr fontId="9" type="noConversion"/>
  </si>
  <si>
    <t>人口密度</t>
    <phoneticPr fontId="9" type="noConversion"/>
  </si>
  <si>
    <t>就业密度</t>
    <phoneticPr fontId="9" type="noConversion"/>
  </si>
  <si>
    <t>国内游客到达人数s</t>
    <phoneticPr fontId="9" type="noConversion"/>
  </si>
  <si>
    <t>公共交通使用率</t>
    <phoneticPr fontId="9" type="noConversion"/>
  </si>
  <si>
    <t>每万人口中公共公交车数量</t>
    <phoneticPr fontId="9" type="noConversion"/>
  </si>
  <si>
    <t>公路客运量</t>
    <phoneticPr fontId="9" type="noConversion"/>
  </si>
  <si>
    <t>PM2.5 浓度</t>
    <phoneticPr fontId="9" type="noConversion"/>
  </si>
  <si>
    <t>私人汽车拥有率</t>
    <phoneticPr fontId="9" type="noConversion"/>
  </si>
  <si>
    <t>相对湿度</t>
    <phoneticPr fontId="9" type="noConversion"/>
  </si>
  <si>
    <t>平均气温</t>
    <phoneticPr fontId="9" type="noConversion"/>
  </si>
  <si>
    <t>住宅密度</t>
    <phoneticPr fontId="9" type="noConversion"/>
  </si>
  <si>
    <t>日常生活服务设施的密度</t>
    <phoneticPr fontId="9" type="noConversion"/>
  </si>
  <si>
    <t>交通设施密度</t>
    <phoneticPr fontId="9" type="noConversion"/>
  </si>
  <si>
    <t>建成面积的绿色覆盖率</t>
    <phoneticPr fontId="9" type="noConversion"/>
  </si>
  <si>
    <t>道路网络密度</t>
  </si>
  <si>
    <t>道路网络密度</t>
    <phoneticPr fontId="9" type="noConversion"/>
  </si>
  <si>
    <t>开放空间密度</t>
    <phoneticPr fontId="9" type="noConversion"/>
  </si>
  <si>
    <r>
      <rPr>
        <sz val="12"/>
        <color rgb="FF0F1115"/>
        <rFont val="微软雅黑"/>
        <family val="2"/>
        <charset val="134"/>
      </rPr>
      <t>人均</t>
    </r>
    <r>
      <rPr>
        <sz val="12"/>
        <color rgb="FF0F1115"/>
        <rFont val="Segoe UI"/>
        <family val="2"/>
      </rPr>
      <t>GDP</t>
    </r>
    <phoneticPr fontId="9" type="noConversion"/>
  </si>
  <si>
    <t>失业率</t>
    <phoneticPr fontId="9" type="noConversion"/>
  </si>
  <si>
    <t>收入不平等</t>
    <phoneticPr fontId="9" type="noConversion"/>
  </si>
  <si>
    <t>收入水平</t>
    <phoneticPr fontId="9" type="noConversion"/>
  </si>
  <si>
    <t>人均卫生支出</t>
    <phoneticPr fontId="9" type="noConversion"/>
  </si>
  <si>
    <r>
      <rPr>
        <sz val="12"/>
        <color rgb="FF0F1115"/>
        <rFont val="微软雅黑"/>
        <family val="2"/>
        <charset val="134"/>
      </rPr>
      <t>卫生支出占</t>
    </r>
    <r>
      <rPr>
        <sz val="12"/>
        <color rgb="FF0F1115"/>
        <rFont val="Segoe UI"/>
        <family val="2"/>
      </rPr>
      <t>GDP</t>
    </r>
    <r>
      <rPr>
        <sz val="12"/>
        <color rgb="FF0F1115"/>
        <rFont val="微软雅黑"/>
        <family val="2"/>
        <charset val="134"/>
      </rPr>
      <t>的百分比</t>
    </r>
    <phoneticPr fontId="9" type="noConversion"/>
  </si>
  <si>
    <t>医院床位数（每万人）</t>
    <phoneticPr fontId="9" type="noConversion"/>
  </si>
  <si>
    <r>
      <rPr>
        <sz val="12"/>
        <color rgb="FF0F1115"/>
        <rFont val="微软雅黑"/>
        <family val="2"/>
        <charset val="134"/>
      </rPr>
      <t>应急储备支出占</t>
    </r>
    <r>
      <rPr>
        <sz val="12"/>
        <color rgb="FF0F1115"/>
        <rFont val="Segoe UI"/>
        <family val="2"/>
      </rPr>
      <t>GDP</t>
    </r>
    <r>
      <rPr>
        <sz val="12"/>
        <color rgb="FF0F1115"/>
        <rFont val="微软雅黑"/>
        <family val="2"/>
        <charset val="134"/>
      </rPr>
      <t>的比例（</t>
    </r>
    <r>
      <rPr>
        <sz val="12"/>
        <color rgb="FF0F1115"/>
        <rFont val="Segoe UI"/>
        <family val="2"/>
      </rPr>
      <t>%</t>
    </r>
    <r>
      <rPr>
        <sz val="12"/>
        <color rgb="FF0F1115"/>
        <rFont val="微软雅黑"/>
        <family val="2"/>
        <charset val="134"/>
      </rPr>
      <t>）（每万元）</t>
    </r>
    <phoneticPr fontId="9" type="noConversion"/>
  </si>
  <si>
    <t>医生人数（每万人）</t>
    <phoneticPr fontId="9" type="noConversion"/>
  </si>
  <si>
    <r>
      <rPr>
        <sz val="12"/>
        <color rgb="FF0F1115"/>
        <rFont val="微软雅黑"/>
        <family val="2"/>
        <charset val="134"/>
      </rPr>
      <t>手机普及率（每</t>
    </r>
    <r>
      <rPr>
        <sz val="12"/>
        <color rgb="FF0F1115"/>
        <rFont val="Segoe UI"/>
        <family val="2"/>
      </rPr>
      <t>100</t>
    </r>
    <r>
      <rPr>
        <sz val="12"/>
        <color rgb="FF0F1115"/>
        <rFont val="微软雅黑"/>
        <family val="2"/>
        <charset val="134"/>
      </rPr>
      <t>户家庭单位）</t>
    </r>
    <phoneticPr fontId="9" type="noConversion"/>
  </si>
  <si>
    <r>
      <rPr>
        <sz val="12"/>
        <color rgb="FF0F1115"/>
        <rFont val="微软雅黑"/>
        <family val="2"/>
        <charset val="134"/>
      </rPr>
      <t>邻里委员会密度（单位</t>
    </r>
    <r>
      <rPr>
        <sz val="12"/>
        <color rgb="FF0F1115"/>
        <rFont val="Segoe UI"/>
        <family val="2"/>
      </rPr>
      <t>/</t>
    </r>
    <r>
      <rPr>
        <sz val="12"/>
        <color rgb="FF0F1115"/>
        <rFont val="微软雅黑"/>
        <family val="2"/>
        <charset val="134"/>
      </rPr>
      <t>平方公里）——以建成面积为分</t>
    </r>
    <phoneticPr fontId="9" type="noConversion"/>
  </si>
  <si>
    <t>疾病控制与预防中心人员人数（人员）</t>
    <phoneticPr fontId="9" type="noConversion"/>
  </si>
  <si>
    <r>
      <rPr>
        <sz val="12"/>
        <color rgb="FF0F1115"/>
        <rFont val="微软雅黑"/>
        <family val="2"/>
        <charset val="134"/>
      </rPr>
      <t>教育水平</t>
    </r>
    <r>
      <rPr>
        <sz val="12"/>
        <color rgb="FF0F1115"/>
        <rFont val="Segoe UI"/>
        <family val="2"/>
      </rPr>
      <t xml:space="preserve"> = </t>
    </r>
    <r>
      <rPr>
        <sz val="12"/>
        <color rgb="FF0F1115"/>
        <rFont val="微软雅黑"/>
        <family val="2"/>
        <charset val="134"/>
      </rPr>
      <t>每万人中大学生人数</t>
    </r>
    <phoneticPr fontId="9" type="noConversion"/>
  </si>
  <si>
    <t>基本社会保险覆盖率</t>
    <phoneticPr fontId="9" type="noConversion"/>
  </si>
  <si>
    <t>失业保险覆盖率</t>
    <phoneticPr fontId="9" type="noConversion"/>
  </si>
  <si>
    <t>公路货运量</t>
    <phoneticPr fontId="9" type="noConversion"/>
  </si>
  <si>
    <t>贫困人口</t>
    <phoneticPr fontId="9" type="noConversion"/>
  </si>
  <si>
    <t>人口特征</t>
    <phoneticPr fontId="9" type="noConversion"/>
  </si>
  <si>
    <t>聚集程度</t>
    <phoneticPr fontId="9" type="noConversion"/>
  </si>
  <si>
    <t>流动强度</t>
    <phoneticPr fontId="9" type="noConversion"/>
  </si>
  <si>
    <t>环境</t>
    <phoneticPr fontId="9" type="noConversion"/>
  </si>
  <si>
    <t>危险指标</t>
    <phoneticPr fontId="9" type="noConversion"/>
  </si>
  <si>
    <t>空间脆弱性</t>
    <phoneticPr fontId="9" type="noConversion"/>
  </si>
  <si>
    <t>经济脆弱性</t>
    <phoneticPr fontId="9" type="noConversion"/>
  </si>
  <si>
    <t>社会脆弱性</t>
    <phoneticPr fontId="9" type="noConversion"/>
  </si>
  <si>
    <t xml:space="preserve">城市脆弱性
</t>
    <phoneticPr fontId="9" type="noConversion"/>
  </si>
  <si>
    <t>新增确诊病例+无症状感染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</si>
</sst>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78" formatCode="0.000_);[Red]\(0.000\)"/>
    <numFmt numFmtId="179" formatCode="0.000_ "/>
    <numFmt numFmtId="180" formatCode="0\ \ "/>
    <numFmt numFmtId="181" formatCode="0.0\ \ "/>
    <numFmt numFmtId="182" formatCode="0.0"/>
    <numFmt numFmtId="183" formatCode="0.0_ "/>
    <numFmt numFmtId="184" formatCode="0.0000_);[Red]\(0.0000\)"/>
    <numFmt numFmtId="185" formatCode="0.00\ \ "/>
    <numFmt numFmtId="186" formatCode="0_ "/>
  </numFmts>
  <fonts count="17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0F1115"/>
      <name val="Segoe UI"/>
      <family val="2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000000"/>
      <name val="Segoe UI"/>
      <family val="2"/>
    </font>
    <font>
      <sz val="12"/>
      <color rgb="FF0F1115"/>
      <name val="微软雅黑"/>
      <family val="2"/>
      <charset val="134"/>
    </font>
    <font>
      <sz val="12"/>
      <color rgb="FF0F1115"/>
      <name val="Segoe UI"/>
      <family val="2"/>
      <charset val="134"/>
    </font>
    <font>
      <b/>
      <sz val="20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7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2" xfId="0" applyFont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10" fontId="5" fillId="4" borderId="12" xfId="0" applyNumberFormat="1" applyFont="1" applyFill="1" applyBorder="1" applyAlignment="1">
      <alignment vertical="center" wrapText="1"/>
    </xf>
    <xf numFmtId="0" fontId="6" fillId="0" borderId="0" xfId="0" applyFont="1">
      <alignment vertical="center"/>
    </xf>
    <xf numFmtId="178" fontId="4" fillId="0" borderId="14" xfId="0" applyNumberFormat="1" applyFont="1" applyBorder="1" applyAlignment="1">
      <alignment vertical="center" wrapText="1"/>
    </xf>
    <xf numFmtId="179" fontId="4" fillId="0" borderId="13" xfId="0" applyNumberFormat="1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49" fontId="3" fillId="0" borderId="0" xfId="0" applyNumberFormat="1" applyFont="1" applyAlignment="1">
      <alignment horizontal="left" vertical="center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2" borderId="15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0" borderId="30" xfId="0" applyFont="1" applyBorder="1">
      <alignment vertical="center"/>
    </xf>
    <xf numFmtId="0" fontId="4" fillId="0" borderId="31" xfId="0" applyFont="1" applyBorder="1">
      <alignment vertical="center"/>
    </xf>
    <xf numFmtId="180" fontId="7" fillId="7" borderId="32" xfId="0" applyNumberFormat="1" applyFont="1" applyFill="1" applyBorder="1" applyAlignment="1">
      <alignment horizontal="right" vertical="center"/>
    </xf>
    <xf numFmtId="178" fontId="4" fillId="0" borderId="31" xfId="0" applyNumberFormat="1" applyFont="1" applyBorder="1">
      <alignment vertical="center"/>
    </xf>
    <xf numFmtId="181" fontId="7" fillId="7" borderId="30" xfId="0" applyNumberFormat="1" applyFont="1" applyFill="1" applyBorder="1" applyAlignment="1">
      <alignment horizontal="right" vertical="center"/>
    </xf>
    <xf numFmtId="179" fontId="4" fillId="0" borderId="33" xfId="0" applyNumberFormat="1" applyFont="1" applyBorder="1">
      <alignment vertical="center"/>
    </xf>
    <xf numFmtId="0" fontId="4" fillId="0" borderId="33" xfId="0" applyFont="1" applyBorder="1">
      <alignment vertical="center"/>
    </xf>
    <xf numFmtId="1" fontId="7" fillId="7" borderId="33" xfId="0" applyNumberFormat="1" applyFont="1" applyFill="1" applyBorder="1" applyAlignment="1">
      <alignment horizontal="right" vertical="center"/>
    </xf>
    <xf numFmtId="182" fontId="7" fillId="7" borderId="34" xfId="0" applyNumberFormat="1" applyFont="1" applyFill="1" applyBorder="1" applyAlignment="1">
      <alignment horizontal="right" vertical="center"/>
    </xf>
    <xf numFmtId="183" fontId="7" fillId="7" borderId="30" xfId="0" applyNumberFormat="1" applyFont="1" applyFill="1" applyBorder="1" applyAlignment="1">
      <alignment horizontal="right" vertical="center"/>
    </xf>
    <xf numFmtId="182" fontId="7" fillId="7" borderId="33" xfId="0" applyNumberFormat="1" applyFont="1" applyFill="1" applyBorder="1" applyAlignment="1">
      <alignment horizontal="right" vertical="center"/>
    </xf>
    <xf numFmtId="184" fontId="4" fillId="0" borderId="33" xfId="0" applyNumberFormat="1" applyFont="1" applyBorder="1">
      <alignment vertical="center"/>
    </xf>
    <xf numFmtId="0" fontId="4" fillId="0" borderId="34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4" xfId="0" applyFont="1" applyBorder="1">
      <alignment vertical="center"/>
    </xf>
    <xf numFmtId="180" fontId="7" fillId="7" borderId="16" xfId="0" applyNumberFormat="1" applyFont="1" applyFill="1" applyBorder="1" applyAlignment="1">
      <alignment horizontal="right" vertical="center"/>
    </xf>
    <xf numFmtId="178" fontId="4" fillId="0" borderId="14" xfId="0" applyNumberFormat="1" applyFont="1" applyBorder="1">
      <alignment vertical="center"/>
    </xf>
    <xf numFmtId="185" fontId="7" fillId="7" borderId="12" xfId="0" applyNumberFormat="1" applyFont="1" applyFill="1" applyBorder="1" applyAlignment="1">
      <alignment horizontal="right" vertical="center"/>
    </xf>
    <xf numFmtId="179" fontId="4" fillId="0" borderId="13" xfId="0" applyNumberFormat="1" applyFont="1" applyBorder="1">
      <alignment vertical="center"/>
    </xf>
    <xf numFmtId="0" fontId="4" fillId="0" borderId="13" xfId="0" applyFont="1" applyBorder="1">
      <alignment vertical="center"/>
    </xf>
    <xf numFmtId="1" fontId="7" fillId="7" borderId="13" xfId="0" applyNumberFormat="1" applyFont="1" applyFill="1" applyBorder="1" applyAlignment="1">
      <alignment horizontal="right" vertical="center"/>
    </xf>
    <xf numFmtId="182" fontId="7" fillId="7" borderId="15" xfId="0" applyNumberFormat="1" applyFont="1" applyFill="1" applyBorder="1" applyAlignment="1">
      <alignment horizontal="right" vertical="center"/>
    </xf>
    <xf numFmtId="183" fontId="7" fillId="7" borderId="12" xfId="0" applyNumberFormat="1" applyFont="1" applyFill="1" applyBorder="1" applyAlignment="1">
      <alignment horizontal="right" vertical="center"/>
    </xf>
    <xf numFmtId="182" fontId="7" fillId="7" borderId="13" xfId="0" applyNumberFormat="1" applyFont="1" applyFill="1" applyBorder="1" applyAlignment="1">
      <alignment horizontal="right" vertical="center"/>
    </xf>
    <xf numFmtId="184" fontId="4" fillId="0" borderId="13" xfId="0" applyNumberFormat="1" applyFont="1" applyBorder="1">
      <alignment vertical="center"/>
    </xf>
    <xf numFmtId="0" fontId="4" fillId="0" borderId="15" xfId="0" applyFont="1" applyBorder="1">
      <alignment vertical="center"/>
    </xf>
    <xf numFmtId="0" fontId="4" fillId="0" borderId="35" xfId="0" applyFont="1" applyBorder="1">
      <alignment vertical="center"/>
    </xf>
    <xf numFmtId="0" fontId="4" fillId="0" borderId="36" xfId="0" applyFont="1" applyBorder="1">
      <alignment vertical="center"/>
    </xf>
    <xf numFmtId="180" fontId="7" fillId="7" borderId="37" xfId="0" applyNumberFormat="1" applyFont="1" applyFill="1" applyBorder="1" applyAlignment="1">
      <alignment horizontal="right" vertical="center"/>
    </xf>
    <xf numFmtId="178" fontId="4" fillId="0" borderId="36" xfId="0" applyNumberFormat="1" applyFont="1" applyBorder="1">
      <alignment vertical="center"/>
    </xf>
    <xf numFmtId="185" fontId="7" fillId="7" borderId="35" xfId="0" applyNumberFormat="1" applyFont="1" applyFill="1" applyBorder="1" applyAlignment="1">
      <alignment horizontal="right" vertical="center"/>
    </xf>
    <xf numFmtId="179" fontId="4" fillId="0" borderId="38" xfId="0" applyNumberFormat="1" applyFont="1" applyBorder="1">
      <alignment vertical="center"/>
    </xf>
    <xf numFmtId="0" fontId="4" fillId="0" borderId="38" xfId="0" applyFont="1" applyBorder="1">
      <alignment vertical="center"/>
    </xf>
    <xf numFmtId="1" fontId="7" fillId="7" borderId="38" xfId="0" applyNumberFormat="1" applyFont="1" applyFill="1" applyBorder="1" applyAlignment="1">
      <alignment horizontal="right" vertical="center"/>
    </xf>
    <xf numFmtId="182" fontId="7" fillId="7" borderId="39" xfId="0" applyNumberFormat="1" applyFont="1" applyFill="1" applyBorder="1" applyAlignment="1">
      <alignment horizontal="right" vertical="center"/>
    </xf>
    <xf numFmtId="183" fontId="7" fillId="7" borderId="35" xfId="0" applyNumberFormat="1" applyFont="1" applyFill="1" applyBorder="1" applyAlignment="1">
      <alignment horizontal="right" vertical="center"/>
    </xf>
    <xf numFmtId="182" fontId="7" fillId="7" borderId="38" xfId="0" applyNumberFormat="1" applyFont="1" applyFill="1" applyBorder="1" applyAlignment="1">
      <alignment horizontal="right" vertical="center"/>
    </xf>
    <xf numFmtId="184" fontId="4" fillId="0" borderId="38" xfId="0" applyNumberFormat="1" applyFont="1" applyBorder="1">
      <alignment vertical="center"/>
    </xf>
    <xf numFmtId="0" fontId="4" fillId="0" borderId="39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4" fillId="4" borderId="13" xfId="0" applyNumberFormat="1" applyFont="1" applyFill="1" applyBorder="1" applyAlignment="1">
      <alignment horizontal="center" vertical="center" wrapText="1"/>
    </xf>
    <xf numFmtId="49" fontId="5" fillId="4" borderId="12" xfId="0" applyNumberFormat="1" applyFont="1" applyFill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49" fontId="4" fillId="4" borderId="12" xfId="0" applyNumberFormat="1" applyFont="1" applyFill="1" applyBorder="1" applyAlignment="1">
      <alignment horizontal="center" vertical="center" wrapText="1"/>
    </xf>
    <xf numFmtId="49" fontId="4" fillId="4" borderId="16" xfId="0" applyNumberFormat="1" applyFont="1" applyFill="1" applyBorder="1" applyAlignment="1">
      <alignment horizontal="center" vertical="center" wrapText="1"/>
    </xf>
    <xf numFmtId="49" fontId="4" fillId="4" borderId="40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10" fontId="4" fillId="0" borderId="13" xfId="0" applyNumberFormat="1" applyFont="1" applyBorder="1">
      <alignment vertical="center"/>
    </xf>
    <xf numFmtId="10" fontId="4" fillId="0" borderId="12" xfId="0" applyNumberFormat="1" applyFont="1" applyBorder="1">
      <alignment vertical="center"/>
    </xf>
    <xf numFmtId="185" fontId="7" fillId="7" borderId="13" xfId="0" applyNumberFormat="1" applyFont="1" applyFill="1" applyBorder="1" applyAlignment="1">
      <alignment horizontal="right" vertical="center"/>
    </xf>
    <xf numFmtId="180" fontId="7" fillId="7" borderId="13" xfId="0" applyNumberFormat="1" applyFont="1" applyFill="1" applyBorder="1" applyAlignment="1">
      <alignment horizontal="right" vertical="center"/>
    </xf>
    <xf numFmtId="181" fontId="7" fillId="7" borderId="12" xfId="0" applyNumberFormat="1" applyFont="1" applyFill="1" applyBorder="1" applyAlignment="1">
      <alignment horizontal="right" vertical="center"/>
    </xf>
    <xf numFmtId="186" fontId="7" fillId="7" borderId="12" xfId="0" applyNumberFormat="1" applyFont="1" applyFill="1" applyBorder="1" applyAlignment="1">
      <alignment horizontal="right" vertical="center" wrapText="1"/>
    </xf>
    <xf numFmtId="0" fontId="4" fillId="0" borderId="16" xfId="0" applyFont="1" applyBorder="1">
      <alignment vertical="center"/>
    </xf>
    <xf numFmtId="186" fontId="7" fillId="7" borderId="13" xfId="0" applyNumberFormat="1" applyFont="1" applyFill="1" applyBorder="1" applyAlignment="1">
      <alignment horizontal="right" vertical="center"/>
    </xf>
    <xf numFmtId="0" fontId="4" fillId="0" borderId="40" xfId="0" applyFont="1" applyBorder="1">
      <alignment vertical="center"/>
    </xf>
    <xf numFmtId="0" fontId="8" fillId="2" borderId="13" xfId="0" applyFont="1" applyFill="1" applyBorder="1">
      <alignment vertical="center"/>
    </xf>
    <xf numFmtId="186" fontId="7" fillId="7" borderId="17" xfId="0" applyNumberFormat="1" applyFont="1" applyFill="1" applyBorder="1" applyAlignment="1">
      <alignment horizontal="right" vertical="center" wrapText="1"/>
    </xf>
    <xf numFmtId="10" fontId="4" fillId="0" borderId="20" xfId="0" applyNumberFormat="1" applyFont="1" applyBorder="1">
      <alignment vertical="center"/>
    </xf>
    <xf numFmtId="0" fontId="4" fillId="0" borderId="22" xfId="0" applyFont="1" applyBorder="1">
      <alignment vertical="center"/>
    </xf>
    <xf numFmtId="0" fontId="4" fillId="0" borderId="20" xfId="0" applyFont="1" applyBorder="1">
      <alignment vertical="center"/>
    </xf>
    <xf numFmtId="186" fontId="7" fillId="7" borderId="42" xfId="0" applyNumberFormat="1" applyFont="1" applyFill="1" applyBorder="1" applyAlignment="1">
      <alignment horizontal="right" vertical="center" wrapText="1"/>
    </xf>
    <xf numFmtId="182" fontId="7" fillId="7" borderId="16" xfId="0" applyNumberFormat="1" applyFont="1" applyFill="1" applyBorder="1" applyAlignment="1">
      <alignment horizontal="right" vertical="center"/>
    </xf>
    <xf numFmtId="10" fontId="4" fillId="0" borderId="42" xfId="0" applyNumberFormat="1" applyFont="1" applyBorder="1">
      <alignment vertical="center"/>
    </xf>
    <xf numFmtId="0" fontId="4" fillId="0" borderId="41" xfId="0" applyFont="1" applyBorder="1">
      <alignment vertical="center"/>
    </xf>
    <xf numFmtId="0" fontId="4" fillId="0" borderId="42" xfId="0" applyFont="1" applyBorder="1">
      <alignment vertical="center"/>
    </xf>
    <xf numFmtId="186" fontId="7" fillId="7" borderId="16" xfId="0" applyNumberFormat="1" applyFont="1" applyFill="1" applyBorder="1" applyAlignment="1">
      <alignment horizontal="right" vertical="center"/>
    </xf>
    <xf numFmtId="186" fontId="7" fillId="7" borderId="30" xfId="0" applyNumberFormat="1" applyFont="1" applyFill="1" applyBorder="1" applyAlignment="1">
      <alignment horizontal="right" vertical="center" wrapText="1"/>
    </xf>
    <xf numFmtId="10" fontId="4" fillId="0" borderId="33" xfId="0" applyNumberFormat="1" applyFont="1" applyBorder="1">
      <alignment vertical="center"/>
    </xf>
    <xf numFmtId="0" fontId="4" fillId="2" borderId="13" xfId="0" applyFont="1" applyFill="1" applyBorder="1">
      <alignment vertical="center"/>
    </xf>
    <xf numFmtId="10" fontId="4" fillId="0" borderId="38" xfId="0" applyNumberFormat="1" applyFont="1" applyBorder="1">
      <alignment vertical="center"/>
    </xf>
    <xf numFmtId="10" fontId="4" fillId="0" borderId="35" xfId="0" applyNumberFormat="1" applyFont="1" applyBorder="1">
      <alignment vertical="center"/>
    </xf>
    <xf numFmtId="185" fontId="7" fillId="7" borderId="38" xfId="0" applyNumberFormat="1" applyFont="1" applyFill="1" applyBorder="1" applyAlignment="1">
      <alignment horizontal="right" vertical="center"/>
    </xf>
    <xf numFmtId="180" fontId="7" fillId="7" borderId="38" xfId="0" applyNumberFormat="1" applyFont="1" applyFill="1" applyBorder="1" applyAlignment="1">
      <alignment horizontal="right" vertical="center"/>
    </xf>
    <xf numFmtId="186" fontId="7" fillId="7" borderId="35" xfId="0" applyNumberFormat="1" applyFont="1" applyFill="1" applyBorder="1" applyAlignment="1">
      <alignment horizontal="right" vertical="center" wrapText="1"/>
    </xf>
    <xf numFmtId="0" fontId="4" fillId="0" borderId="38" xfId="0" applyFont="1" applyBorder="1" applyAlignment="1">
      <alignment vertical="center" wrapText="1"/>
    </xf>
    <xf numFmtId="0" fontId="4" fillId="0" borderId="43" xfId="0" applyFon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0" fontId="2" fillId="0" borderId="7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vertical="center" wrapText="1"/>
    </xf>
    <xf numFmtId="0" fontId="10" fillId="4" borderId="13" xfId="0" applyFont="1" applyFill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10" fontId="11" fillId="4" borderId="12" xfId="0" applyNumberFormat="1" applyFont="1" applyFill="1" applyBorder="1" applyAlignment="1">
      <alignment vertical="center" wrapText="1"/>
    </xf>
    <xf numFmtId="0" fontId="14" fillId="0" borderId="0" xfId="0" applyFont="1">
      <alignment vertical="center"/>
    </xf>
    <xf numFmtId="178" fontId="10" fillId="0" borderId="14" xfId="0" applyNumberFormat="1" applyFont="1" applyBorder="1" applyAlignment="1">
      <alignment vertical="center" wrapText="1"/>
    </xf>
    <xf numFmtId="179" fontId="10" fillId="0" borderId="13" xfId="0" applyNumberFormat="1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4" borderId="14" xfId="0" applyFont="1" applyFill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10" fontId="16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7"/>
  <sheetViews>
    <sheetView tabSelected="1" zoomScale="55" zoomScaleNormal="55" workbookViewId="0">
      <selection activeCell="J38" sqref="J38"/>
    </sheetView>
  </sheetViews>
  <sheetFormatPr defaultColWidth="8.90625" defaultRowHeight="14" x14ac:dyDescent="0.25"/>
  <cols>
    <col min="1" max="1" width="16.6328125" customWidth="1"/>
    <col min="2" max="22" width="10.81640625" customWidth="1"/>
    <col min="23" max="23" width="16.26953125" customWidth="1"/>
    <col min="24" max="26" width="10.81640625" customWidth="1"/>
    <col min="27" max="27" width="14" customWidth="1"/>
    <col min="28" max="28" width="15.81640625" customWidth="1"/>
    <col min="29" max="29" width="10.81640625" customWidth="1"/>
    <col min="30" max="30" width="14.453125" customWidth="1"/>
    <col min="31" max="31" width="26.6328125" customWidth="1"/>
    <col min="32" max="32" width="9.453125" customWidth="1"/>
    <col min="33" max="33" width="11.6328125" customWidth="1"/>
    <col min="34" max="34" width="28.54296875" customWidth="1"/>
    <col min="35" max="35" width="16.08984375" customWidth="1"/>
    <col min="36" max="36" width="12.453125" customWidth="1"/>
    <col min="37" max="37" width="9.1796875" customWidth="1"/>
    <col min="38" max="38" width="19.7265625" customWidth="1"/>
    <col min="39" max="39" width="16.54296875" customWidth="1"/>
  </cols>
  <sheetData>
    <row r="1" spans="1:39" ht="25.5" x14ac:dyDescent="0.25">
      <c r="A1" s="2"/>
      <c r="B1" s="163" t="s">
        <v>150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4"/>
      <c r="R1" s="168" t="s">
        <v>154</v>
      </c>
      <c r="S1" s="135"/>
      <c r="T1" s="135"/>
      <c r="U1" s="135"/>
      <c r="V1" s="135"/>
      <c r="W1" s="135"/>
      <c r="X1" s="135"/>
      <c r="Y1" s="135"/>
      <c r="Z1" s="135"/>
      <c r="AA1" s="135"/>
      <c r="AB1" s="136"/>
      <c r="AC1" s="136"/>
      <c r="AD1" s="136"/>
      <c r="AE1" s="136"/>
      <c r="AF1" s="136"/>
      <c r="AG1" s="136"/>
      <c r="AH1" s="137"/>
      <c r="AI1" s="136"/>
      <c r="AJ1" s="136"/>
      <c r="AK1" s="136"/>
      <c r="AL1" s="136"/>
      <c r="AM1" s="138"/>
    </row>
    <row r="2" spans="1:39" ht="25.5" x14ac:dyDescent="0.25">
      <c r="A2" s="3"/>
      <c r="B2" s="163" t="s">
        <v>146</v>
      </c>
      <c r="C2" s="133"/>
      <c r="D2" s="133"/>
      <c r="E2" s="164" t="s">
        <v>147</v>
      </c>
      <c r="F2" s="140"/>
      <c r="G2" s="140"/>
      <c r="H2" s="141"/>
      <c r="I2" s="165" t="s">
        <v>148</v>
      </c>
      <c r="J2" s="143"/>
      <c r="K2" s="143"/>
      <c r="L2" s="143"/>
      <c r="M2" s="143"/>
      <c r="N2" s="144"/>
      <c r="O2" s="165" t="s">
        <v>149</v>
      </c>
      <c r="P2" s="143"/>
      <c r="Q2" s="145"/>
      <c r="R2" s="166" t="s">
        <v>151</v>
      </c>
      <c r="S2" s="147"/>
      <c r="T2" s="147"/>
      <c r="U2" s="147"/>
      <c r="V2" s="147"/>
      <c r="W2" s="148"/>
      <c r="X2" s="166" t="s">
        <v>152</v>
      </c>
      <c r="Y2" s="147"/>
      <c r="Z2" s="147"/>
      <c r="AA2" s="147"/>
      <c r="AB2" s="147"/>
      <c r="AC2" s="147"/>
      <c r="AD2" s="147"/>
      <c r="AE2" s="148"/>
      <c r="AF2" s="167" t="s">
        <v>153</v>
      </c>
      <c r="AG2" s="149"/>
      <c r="AH2" s="149"/>
      <c r="AI2" s="149"/>
      <c r="AJ2" s="149"/>
      <c r="AK2" s="149"/>
      <c r="AL2" s="149"/>
      <c r="AM2" s="150"/>
    </row>
    <row r="3" spans="1:39" ht="45" x14ac:dyDescent="0.25">
      <c r="A3" s="4" t="s">
        <v>9</v>
      </c>
      <c r="B3" s="151" t="s">
        <v>108</v>
      </c>
      <c r="C3" s="152" t="s">
        <v>109</v>
      </c>
      <c r="D3" s="153" t="s">
        <v>145</v>
      </c>
      <c r="E3" s="154" t="s">
        <v>110</v>
      </c>
      <c r="F3" s="152" t="s">
        <v>111</v>
      </c>
      <c r="G3" s="155" t="s">
        <v>112</v>
      </c>
      <c r="H3" s="156" t="s">
        <v>113</v>
      </c>
      <c r="I3" s="151" t="s">
        <v>114</v>
      </c>
      <c r="J3" s="157" t="s">
        <v>116</v>
      </c>
      <c r="K3" s="152" t="s">
        <v>115</v>
      </c>
      <c r="L3" s="158" t="s">
        <v>117</v>
      </c>
      <c r="M3" s="152" t="s">
        <v>144</v>
      </c>
      <c r="N3" s="159" t="s">
        <v>119</v>
      </c>
      <c r="O3" s="151" t="s">
        <v>118</v>
      </c>
      <c r="P3" s="155" t="s">
        <v>120</v>
      </c>
      <c r="Q3" s="160" t="s">
        <v>121</v>
      </c>
      <c r="R3" s="151" t="s">
        <v>122</v>
      </c>
      <c r="S3" s="158" t="s">
        <v>123</v>
      </c>
      <c r="T3" s="158" t="s">
        <v>124</v>
      </c>
      <c r="U3" s="152" t="s">
        <v>127</v>
      </c>
      <c r="V3" s="158" t="s">
        <v>125</v>
      </c>
      <c r="W3" s="153" t="s">
        <v>128</v>
      </c>
      <c r="X3" s="162" t="s">
        <v>129</v>
      </c>
      <c r="Y3" s="155" t="s">
        <v>130</v>
      </c>
      <c r="Z3" s="155" t="s">
        <v>132</v>
      </c>
      <c r="AA3" s="155" t="s">
        <v>131</v>
      </c>
      <c r="AB3" s="155" t="s">
        <v>133</v>
      </c>
      <c r="AC3" s="162" t="s">
        <v>134</v>
      </c>
      <c r="AD3" s="162"/>
      <c r="AE3" s="162" t="s">
        <v>136</v>
      </c>
      <c r="AF3" s="155" t="s">
        <v>137</v>
      </c>
      <c r="AG3" s="155" t="s">
        <v>135</v>
      </c>
      <c r="AH3" s="155" t="s">
        <v>140</v>
      </c>
      <c r="AI3" s="162" t="s">
        <v>139</v>
      </c>
      <c r="AJ3" s="162" t="s">
        <v>138</v>
      </c>
      <c r="AK3" s="162" t="s">
        <v>141</v>
      </c>
      <c r="AL3" s="155" t="s">
        <v>142</v>
      </c>
      <c r="AM3" s="155" t="s">
        <v>143</v>
      </c>
    </row>
    <row r="4" spans="1:39" ht="23" x14ac:dyDescent="0.25">
      <c r="A4" s="15" t="s">
        <v>48</v>
      </c>
      <c r="B4" s="16" t="s">
        <v>49</v>
      </c>
      <c r="C4" s="88" t="s">
        <v>49</v>
      </c>
      <c r="D4" s="17" t="s">
        <v>49</v>
      </c>
      <c r="E4" s="89" t="s">
        <v>49</v>
      </c>
      <c r="F4" s="88" t="s">
        <v>49</v>
      </c>
      <c r="G4" s="19" t="s">
        <v>49</v>
      </c>
      <c r="H4" s="17" t="s">
        <v>49</v>
      </c>
      <c r="I4" s="16" t="s">
        <v>49</v>
      </c>
      <c r="J4" s="19" t="s">
        <v>49</v>
      </c>
      <c r="K4" s="88" t="s">
        <v>49</v>
      </c>
      <c r="L4" s="19" t="s">
        <v>49</v>
      </c>
      <c r="M4" s="88" t="s">
        <v>49</v>
      </c>
      <c r="N4" s="90" t="s">
        <v>50</v>
      </c>
      <c r="O4" s="16" t="s">
        <v>49</v>
      </c>
      <c r="P4" s="19" t="s">
        <v>49</v>
      </c>
      <c r="Q4" s="20" t="s">
        <v>50</v>
      </c>
      <c r="R4" s="21" t="s">
        <v>50</v>
      </c>
      <c r="S4" s="19" t="s">
        <v>49</v>
      </c>
      <c r="T4" s="19" t="s">
        <v>49</v>
      </c>
      <c r="U4" s="88" t="s">
        <v>49</v>
      </c>
      <c r="V4" s="22" t="s">
        <v>50</v>
      </c>
      <c r="W4" s="23" t="s">
        <v>50</v>
      </c>
      <c r="X4" s="91" t="s">
        <v>50</v>
      </c>
      <c r="Y4" s="19" t="s">
        <v>49</v>
      </c>
      <c r="Z4" s="22" t="s">
        <v>50</v>
      </c>
      <c r="AA4" s="88" t="s">
        <v>49</v>
      </c>
      <c r="AB4" s="88" t="s">
        <v>50</v>
      </c>
      <c r="AC4" s="22" t="s">
        <v>50</v>
      </c>
      <c r="AD4" s="22" t="s">
        <v>50</v>
      </c>
      <c r="AE4" s="23" t="s">
        <v>50</v>
      </c>
      <c r="AF4" s="92" t="s">
        <v>50</v>
      </c>
      <c r="AG4" s="22" t="s">
        <v>50</v>
      </c>
      <c r="AH4" s="88" t="s">
        <v>50</v>
      </c>
      <c r="AI4" s="88" t="s">
        <v>50</v>
      </c>
      <c r="AJ4" s="88" t="s">
        <v>50</v>
      </c>
      <c r="AK4" s="88" t="s">
        <v>50</v>
      </c>
      <c r="AL4" s="22" t="s">
        <v>50</v>
      </c>
      <c r="AM4" s="93" t="s">
        <v>50</v>
      </c>
    </row>
    <row r="5" spans="1:39" ht="23" x14ac:dyDescent="0.25">
      <c r="A5" s="4"/>
      <c r="B5" s="94" t="s">
        <v>51</v>
      </c>
      <c r="C5" s="94" t="s">
        <v>52</v>
      </c>
      <c r="D5" s="95" t="s">
        <v>53</v>
      </c>
      <c r="E5" s="96" t="s">
        <v>54</v>
      </c>
      <c r="F5" s="94" t="s">
        <v>55</v>
      </c>
      <c r="G5" s="94" t="s">
        <v>56</v>
      </c>
      <c r="H5" s="95" t="s">
        <v>57</v>
      </c>
      <c r="I5" s="96" t="s">
        <v>58</v>
      </c>
      <c r="J5" s="94" t="s">
        <v>59</v>
      </c>
      <c r="K5" s="94" t="s">
        <v>60</v>
      </c>
      <c r="L5" s="94" t="s">
        <v>61</v>
      </c>
      <c r="M5" s="94" t="s">
        <v>62</v>
      </c>
      <c r="N5" s="95" t="s">
        <v>63</v>
      </c>
      <c r="O5" s="96" t="s">
        <v>64</v>
      </c>
      <c r="P5" s="94" t="s">
        <v>65</v>
      </c>
      <c r="Q5" s="97" t="s">
        <v>66</v>
      </c>
      <c r="R5" s="98" t="s">
        <v>67</v>
      </c>
      <c r="S5" s="99" t="s">
        <v>68</v>
      </c>
      <c r="T5" s="99" t="s">
        <v>69</v>
      </c>
      <c r="U5" s="99" t="s">
        <v>70</v>
      </c>
      <c r="V5" s="99" t="s">
        <v>71</v>
      </c>
      <c r="W5" s="100" t="s">
        <v>72</v>
      </c>
      <c r="X5" s="98" t="s">
        <v>73</v>
      </c>
      <c r="Y5" s="99" t="s">
        <v>74</v>
      </c>
      <c r="Z5" s="99" t="s">
        <v>75</v>
      </c>
      <c r="AA5" s="99" t="s">
        <v>76</v>
      </c>
      <c r="AB5" s="99" t="s">
        <v>77</v>
      </c>
      <c r="AC5" s="99" t="s">
        <v>78</v>
      </c>
      <c r="AD5" s="99" t="s">
        <v>79</v>
      </c>
      <c r="AE5" s="100" t="s">
        <v>80</v>
      </c>
      <c r="AF5" s="101" t="s">
        <v>81</v>
      </c>
      <c r="AG5" s="99" t="s">
        <v>82</v>
      </c>
      <c r="AH5" s="99" t="s">
        <v>83</v>
      </c>
      <c r="AI5" s="99" t="s">
        <v>84</v>
      </c>
      <c r="AJ5" s="99" t="s">
        <v>85</v>
      </c>
      <c r="AK5" s="99" t="s">
        <v>86</v>
      </c>
      <c r="AL5" s="99" t="s">
        <v>87</v>
      </c>
      <c r="AM5" s="101" t="s">
        <v>88</v>
      </c>
    </row>
    <row r="6" spans="1:39" ht="23" x14ac:dyDescent="0.25">
      <c r="A6" s="4" t="s">
        <v>89</v>
      </c>
      <c r="B6" s="59">
        <v>13.62</v>
      </c>
      <c r="C6" s="102">
        <v>3.6796504304915698E-2</v>
      </c>
      <c r="D6" s="60">
        <v>4.2012883204814704E-3</v>
      </c>
      <c r="E6" s="103">
        <v>7.4201604464597101E-2</v>
      </c>
      <c r="F6" s="104">
        <v>79.89</v>
      </c>
      <c r="G6" s="105">
        <v>1484</v>
      </c>
      <c r="H6" s="62">
        <v>1.0897450361010801</v>
      </c>
      <c r="I6" s="106">
        <v>16378.754570999999</v>
      </c>
      <c r="J6" s="64">
        <v>7.8319541094602201</v>
      </c>
      <c r="K6" s="65">
        <v>97203</v>
      </c>
      <c r="L6" s="65">
        <v>3432.17</v>
      </c>
      <c r="M6" s="65">
        <v>35047</v>
      </c>
      <c r="N6" s="60">
        <v>23.614712243746499</v>
      </c>
      <c r="O6" s="59">
        <v>38.9</v>
      </c>
      <c r="P6" s="66">
        <v>79</v>
      </c>
      <c r="Q6" s="67">
        <v>17.533333333333299</v>
      </c>
      <c r="R6" s="68">
        <v>36.1</v>
      </c>
      <c r="S6" s="65">
        <v>457.42610559566799</v>
      </c>
      <c r="T6" s="64">
        <v>6.0459912755716001</v>
      </c>
      <c r="U6" s="65">
        <v>27.5661336116125</v>
      </c>
      <c r="V6" s="65">
        <v>44.01</v>
      </c>
      <c r="W6" s="60">
        <v>0.37848732701564403</v>
      </c>
      <c r="X6" s="107">
        <v>98149</v>
      </c>
      <c r="Y6" s="69">
        <v>2.0041527082517399</v>
      </c>
      <c r="Z6" s="66">
        <v>96413.248096533498</v>
      </c>
      <c r="AA6" s="65">
        <v>1.77482969029837</v>
      </c>
      <c r="AB6" s="12">
        <v>1806.547161</v>
      </c>
      <c r="AC6" s="102">
        <v>1.3059815059445199E-2</v>
      </c>
      <c r="AD6" s="65">
        <v>105564.294076217</v>
      </c>
      <c r="AE6" s="60">
        <v>1.3703854929746599</v>
      </c>
      <c r="AF6" s="108">
        <v>37.4915365807786</v>
      </c>
      <c r="AG6" s="65">
        <v>78.630336656009007</v>
      </c>
      <c r="AH6" s="109">
        <v>3276</v>
      </c>
      <c r="AI6" s="65">
        <v>1.64617178098676</v>
      </c>
      <c r="AJ6" s="65">
        <v>30.327500000000001</v>
      </c>
      <c r="AK6" s="65">
        <v>486.79800639458301</v>
      </c>
      <c r="AL6" s="65">
        <v>0.76228136167011495</v>
      </c>
      <c r="AM6" s="110">
        <v>0.31873706977618999</v>
      </c>
    </row>
    <row r="7" spans="1:39" ht="23" x14ac:dyDescent="0.25">
      <c r="A7" s="4" t="s">
        <v>90</v>
      </c>
      <c r="B7" s="59">
        <v>21.29</v>
      </c>
      <c r="C7" s="102">
        <v>1.33050532112823E-2</v>
      </c>
      <c r="D7" s="60">
        <v>6.2488988580750401E-2</v>
      </c>
      <c r="E7" s="103">
        <v>3.0132858512532501E-2</v>
      </c>
      <c r="F7" s="104">
        <v>56.67</v>
      </c>
      <c r="G7" s="105">
        <v>560</v>
      </c>
      <c r="H7" s="62">
        <v>1.01795454545455</v>
      </c>
      <c r="I7" s="63">
        <v>1606.80591</v>
      </c>
      <c r="J7" s="64">
        <v>4.0864600326264302</v>
      </c>
      <c r="K7" s="65">
        <v>21000</v>
      </c>
      <c r="L7" s="65">
        <v>1548.53</v>
      </c>
      <c r="M7" s="65">
        <v>4877.1899999999996</v>
      </c>
      <c r="N7" s="60">
        <v>12.9179853181077</v>
      </c>
      <c r="O7" s="59">
        <v>38.4</v>
      </c>
      <c r="P7" s="66">
        <v>72.1666666666667</v>
      </c>
      <c r="Q7" s="67">
        <v>19.758333333333301</v>
      </c>
      <c r="R7" s="68">
        <v>40</v>
      </c>
      <c r="S7" s="65">
        <v>255.93181818181799</v>
      </c>
      <c r="T7" s="64">
        <v>9.3712121212121193</v>
      </c>
      <c r="U7" s="65">
        <v>75.733333333333306</v>
      </c>
      <c r="V7" s="65">
        <v>44.4</v>
      </c>
      <c r="W7" s="60">
        <v>0.38900000000000001</v>
      </c>
      <c r="X7" s="107">
        <v>66602</v>
      </c>
      <c r="Y7" s="69">
        <v>3.6161246995209599</v>
      </c>
      <c r="Z7" s="66">
        <v>70532.062140957001</v>
      </c>
      <c r="AA7" s="65">
        <v>1.9903540404573501</v>
      </c>
      <c r="AB7" s="12">
        <v>1854.7983999999999</v>
      </c>
      <c r="AC7" s="102">
        <v>1.9442206516033698E-2</v>
      </c>
      <c r="AD7" s="65">
        <v>78305.622894767497</v>
      </c>
      <c r="AE7" s="60">
        <v>4.92181491925147</v>
      </c>
      <c r="AF7" s="108">
        <v>31.9902120717781</v>
      </c>
      <c r="AG7" s="65">
        <v>97.296084828711301</v>
      </c>
      <c r="AH7" s="109">
        <v>551</v>
      </c>
      <c r="AI7" s="65">
        <v>2.15151515151515</v>
      </c>
      <c r="AJ7" s="65">
        <v>2.7648000000000001</v>
      </c>
      <c r="AK7" s="65">
        <v>222.92006525285501</v>
      </c>
      <c r="AL7" s="65">
        <v>0.72816068515497601</v>
      </c>
      <c r="AM7" s="110">
        <v>7.5203915171288799E-2</v>
      </c>
    </row>
    <row r="8" spans="1:39" ht="23" x14ac:dyDescent="0.25">
      <c r="A8" s="4" t="s">
        <v>91</v>
      </c>
      <c r="B8" s="59">
        <v>15.88</v>
      </c>
      <c r="C8" s="102">
        <v>2.1388717632552401E-2</v>
      </c>
      <c r="D8" s="60">
        <v>1.76060855263158E-2</v>
      </c>
      <c r="E8" s="103">
        <v>1.1328937768530299E-2</v>
      </c>
      <c r="F8" s="104">
        <v>70.23</v>
      </c>
      <c r="G8" s="105">
        <v>164</v>
      </c>
      <c r="H8" s="62">
        <v>0.77376267143708999</v>
      </c>
      <c r="I8" s="63">
        <v>1339.4879000000001</v>
      </c>
      <c r="J8" s="64">
        <v>5.4194078947368398</v>
      </c>
      <c r="K8" s="65">
        <v>7930</v>
      </c>
      <c r="L8" s="65">
        <v>918.274</v>
      </c>
      <c r="M8" s="65">
        <v>10704.303</v>
      </c>
      <c r="N8" s="60">
        <v>17.890789473684201</v>
      </c>
      <c r="O8" s="59">
        <v>27.7</v>
      </c>
      <c r="P8" s="66">
        <v>57.9166666666667</v>
      </c>
      <c r="Q8" s="67">
        <v>20.758333333333301</v>
      </c>
      <c r="R8" s="68">
        <v>34.799999999999997</v>
      </c>
      <c r="S8" s="65">
        <v>153.16636851520599</v>
      </c>
      <c r="T8" s="64">
        <v>9.80322003577818</v>
      </c>
      <c r="U8" s="65">
        <v>63.8354203935599</v>
      </c>
      <c r="V8" s="65">
        <v>42.94</v>
      </c>
      <c r="W8" s="60">
        <v>0.40223613595706598</v>
      </c>
      <c r="X8" s="107">
        <v>100454</v>
      </c>
      <c r="Y8" s="69">
        <v>3.74</v>
      </c>
      <c r="Z8" s="66">
        <v>90618.815599621696</v>
      </c>
      <c r="AA8" s="65">
        <v>2.1404196524773198</v>
      </c>
      <c r="AB8" s="12">
        <v>2432.027376</v>
      </c>
      <c r="AC8" s="102">
        <v>1.2799380591878899E-2</v>
      </c>
      <c r="AD8" s="65">
        <v>77532.649408026293</v>
      </c>
      <c r="AE8" s="60">
        <v>0.61695015239406203</v>
      </c>
      <c r="AF8" s="108">
        <v>35.814144736842103</v>
      </c>
      <c r="AG8" s="65">
        <v>88.659539473684205</v>
      </c>
      <c r="AH8" s="109">
        <v>294</v>
      </c>
      <c r="AI8" s="65">
        <v>1.2641621943947501</v>
      </c>
      <c r="AJ8" s="65">
        <v>1.5036290000000001</v>
      </c>
      <c r="AK8" s="65">
        <v>222.8125</v>
      </c>
      <c r="AL8" s="65">
        <v>0.689597039473684</v>
      </c>
      <c r="AM8" s="110">
        <v>0.14942434210526301</v>
      </c>
    </row>
    <row r="9" spans="1:39" ht="23" x14ac:dyDescent="0.25">
      <c r="A9" s="4" t="s">
        <v>92</v>
      </c>
      <c r="B9" s="59">
        <v>17.649999999999999</v>
      </c>
      <c r="C9" s="102">
        <v>1.9262126785867102E-2</v>
      </c>
      <c r="D9" s="60">
        <v>4.5669716162326998E-2</v>
      </c>
      <c r="E9" s="103">
        <v>1.42307252251516E-2</v>
      </c>
      <c r="F9" s="104">
        <v>51.91</v>
      </c>
      <c r="G9" s="105">
        <v>348</v>
      </c>
      <c r="H9" s="62">
        <v>1.3425601562051299</v>
      </c>
      <c r="I9" s="63">
        <v>4194.9520599999996</v>
      </c>
      <c r="J9" s="64">
        <v>3.1855500821018099</v>
      </c>
      <c r="K9" s="65">
        <v>16699</v>
      </c>
      <c r="L9" s="65">
        <v>1976.31</v>
      </c>
      <c r="M9" s="65">
        <v>8810.66</v>
      </c>
      <c r="N9" s="60">
        <v>12.177433732113499</v>
      </c>
      <c r="O9" s="59">
        <v>40.6</v>
      </c>
      <c r="P9" s="66">
        <v>77.1666666666667</v>
      </c>
      <c r="Q9" s="67">
        <v>19.266666666666701</v>
      </c>
      <c r="R9" s="68">
        <v>41.9</v>
      </c>
      <c r="S9" s="65">
        <v>346.740940676506</v>
      </c>
      <c r="T9" s="64">
        <v>15.184057887785</v>
      </c>
      <c r="U9" s="65">
        <v>115.926049503245</v>
      </c>
      <c r="V9" s="65">
        <v>43.16</v>
      </c>
      <c r="W9" s="60">
        <v>0.393419284442658</v>
      </c>
      <c r="X9" s="107">
        <v>61054</v>
      </c>
      <c r="Y9" s="69">
        <v>2.5175981971661501</v>
      </c>
      <c r="Z9" s="66">
        <v>74898.093241870694</v>
      </c>
      <c r="AA9" s="65">
        <v>2.1112168280133599</v>
      </c>
      <c r="AB9" s="12">
        <v>1756.2664</v>
      </c>
      <c r="AC9" s="102">
        <v>2.1679518127863701E-2</v>
      </c>
      <c r="AD9" s="65">
        <v>61432.4279436664</v>
      </c>
      <c r="AE9" s="60">
        <v>5.3126633660321696</v>
      </c>
      <c r="AF9" s="108">
        <v>29.488623035421099</v>
      </c>
      <c r="AG9" s="65">
        <v>87.658925639221195</v>
      </c>
      <c r="AH9" s="109">
        <v>538</v>
      </c>
      <c r="AI9" s="65">
        <v>1.9755355194394999</v>
      </c>
      <c r="AJ9" s="65">
        <v>5.1528999999999998</v>
      </c>
      <c r="AK9" s="65">
        <v>199.793572601454</v>
      </c>
      <c r="AL9" s="65">
        <v>0.68257095941824997</v>
      </c>
      <c r="AM9" s="110">
        <v>8.4236453201970402E-2</v>
      </c>
    </row>
    <row r="10" spans="1:39" ht="23" x14ac:dyDescent="0.25">
      <c r="A10" s="4" t="s">
        <v>93</v>
      </c>
      <c r="B10" s="59">
        <v>20.25</v>
      </c>
      <c r="C10" s="102">
        <v>1.0393033878949401E-2</v>
      </c>
      <c r="D10" s="60">
        <v>2.4379659058075698E-2</v>
      </c>
      <c r="E10" s="103">
        <v>1.6249280855528101E-2</v>
      </c>
      <c r="F10" s="104">
        <v>57.61</v>
      </c>
      <c r="G10" s="105">
        <v>586</v>
      </c>
      <c r="H10" s="62">
        <v>2.18848276580235</v>
      </c>
      <c r="I10" s="63">
        <v>2292.0302109999998</v>
      </c>
      <c r="J10" s="64">
        <v>2.3721467783877501</v>
      </c>
      <c r="K10" s="65">
        <v>5070</v>
      </c>
      <c r="L10" s="65">
        <v>1323</v>
      </c>
      <c r="M10" s="65">
        <v>8881</v>
      </c>
      <c r="N10" s="60">
        <v>16.959347009534799</v>
      </c>
      <c r="O10" s="59">
        <v>35.299999999999997</v>
      </c>
      <c r="P10" s="66">
        <v>77</v>
      </c>
      <c r="Q10" s="67">
        <v>17.616666666666699</v>
      </c>
      <c r="R10" s="68">
        <v>41.1</v>
      </c>
      <c r="S10" s="65">
        <v>697.25085910652899</v>
      </c>
      <c r="T10" s="64">
        <v>21.555763823805101</v>
      </c>
      <c r="U10" s="65">
        <v>105.100656044986</v>
      </c>
      <c r="V10" s="65">
        <v>43.51</v>
      </c>
      <c r="W10" s="60">
        <v>0.370150994480891</v>
      </c>
      <c r="X10" s="107">
        <v>81412</v>
      </c>
      <c r="Y10" s="69">
        <v>3.2249522186658099</v>
      </c>
      <c r="Z10" s="66">
        <v>80485.204658225601</v>
      </c>
      <c r="AA10" s="65">
        <v>1.92520713753518</v>
      </c>
      <c r="AB10" s="12">
        <v>1561.5244</v>
      </c>
      <c r="AC10" s="102">
        <v>1.5162325559930001E-2</v>
      </c>
      <c r="AD10" s="65">
        <v>79402.608209462604</v>
      </c>
      <c r="AE10" s="60">
        <v>12.787952585671301</v>
      </c>
      <c r="AF10" s="108">
        <v>30.453626119618601</v>
      </c>
      <c r="AG10" s="65">
        <v>81.248194163536496</v>
      </c>
      <c r="AH10" s="109">
        <v>544</v>
      </c>
      <c r="AI10" s="65">
        <v>3.8633760283244798</v>
      </c>
      <c r="AJ10" s="65">
        <v>4.1970000000000001</v>
      </c>
      <c r="AK10" s="65">
        <v>362.594625830685</v>
      </c>
      <c r="AL10" s="65">
        <v>0.70138688240392999</v>
      </c>
      <c r="AM10" s="110">
        <v>0.12973129153423901</v>
      </c>
    </row>
    <row r="11" spans="1:39" ht="23" x14ac:dyDescent="0.25">
      <c r="A11" s="4" t="s">
        <v>94</v>
      </c>
      <c r="B11" s="59">
        <v>18.36</v>
      </c>
      <c r="C11" s="102">
        <v>1.41310310873541E-2</v>
      </c>
      <c r="D11" s="60">
        <v>2.5782972641894601E-2</v>
      </c>
      <c r="E11" s="103">
        <v>9.3444420299875503E-3</v>
      </c>
      <c r="F11" s="104">
        <v>54.29</v>
      </c>
      <c r="G11" s="105">
        <v>242</v>
      </c>
      <c r="H11" s="62">
        <v>1.502880397442</v>
      </c>
      <c r="I11" s="63">
        <v>7963.3798129999996</v>
      </c>
      <c r="J11" s="64">
        <v>2.5969783585136801</v>
      </c>
      <c r="K11" s="65">
        <v>11400</v>
      </c>
      <c r="L11" s="65">
        <v>2408.98</v>
      </c>
      <c r="M11" s="111">
        <v>7109.34</v>
      </c>
      <c r="N11" s="60">
        <v>17.472253981216799</v>
      </c>
      <c r="O11" s="59">
        <v>34.200000000000003</v>
      </c>
      <c r="P11" s="66">
        <v>69.6666666666667</v>
      </c>
      <c r="Q11" s="67">
        <v>18.308333333333302</v>
      </c>
      <c r="R11" s="68">
        <v>40.299999999999997</v>
      </c>
      <c r="S11" s="65">
        <v>499.011680143756</v>
      </c>
      <c r="T11" s="64">
        <v>15.2053274139845</v>
      </c>
      <c r="U11" s="65">
        <v>129.53200147983699</v>
      </c>
      <c r="V11" s="65">
        <v>41.62</v>
      </c>
      <c r="W11" s="60">
        <v>0.38209978330955002</v>
      </c>
      <c r="X11" s="112">
        <v>74171</v>
      </c>
      <c r="Y11" s="69">
        <v>2.73</v>
      </c>
      <c r="Z11" s="66">
        <v>77314.410136928695</v>
      </c>
      <c r="AA11" s="65">
        <v>1.9858785038562701</v>
      </c>
      <c r="AB11" s="12">
        <v>1890.2297000000001</v>
      </c>
      <c r="AC11" s="113">
        <v>1.54633106696003E-2</v>
      </c>
      <c r="AD11" s="65">
        <v>76048.132816392404</v>
      </c>
      <c r="AE11" s="114">
        <v>5.2989572477074303</v>
      </c>
      <c r="AF11" s="108">
        <v>30.808493262556102</v>
      </c>
      <c r="AG11" s="115">
        <v>88.715802368313604</v>
      </c>
      <c r="AH11" s="109">
        <v>813</v>
      </c>
      <c r="AI11" s="65">
        <v>2.5791448654933702</v>
      </c>
      <c r="AJ11" s="65">
        <v>7.0098000000000003</v>
      </c>
      <c r="AK11" s="65">
        <v>368.51980400163302</v>
      </c>
      <c r="AL11" s="115">
        <v>0.65970804409963202</v>
      </c>
      <c r="AM11" s="110">
        <v>0.104879542670478</v>
      </c>
    </row>
    <row r="12" spans="1:39" ht="23" x14ac:dyDescent="0.25">
      <c r="A12" s="4" t="s">
        <v>95</v>
      </c>
      <c r="B12" s="59">
        <v>18.809999999999999</v>
      </c>
      <c r="C12" s="102">
        <v>9.1667970583633202E-3</v>
      </c>
      <c r="D12" s="60">
        <v>0.10251475121092</v>
      </c>
      <c r="E12" s="103">
        <v>4.3326323791773704E-3</v>
      </c>
      <c r="F12" s="104">
        <v>48.55</v>
      </c>
      <c r="G12" s="105">
        <v>139</v>
      </c>
      <c r="H12" s="62">
        <v>1.80868826942125</v>
      </c>
      <c r="I12" s="63">
        <v>1495.9483419999999</v>
      </c>
      <c r="J12" s="64">
        <v>2.37340378687803</v>
      </c>
      <c r="K12" s="65">
        <v>3900</v>
      </c>
      <c r="L12" s="65">
        <v>392.77</v>
      </c>
      <c r="M12" s="65">
        <v>4078</v>
      </c>
      <c r="N12" s="60">
        <v>14.632672831351799</v>
      </c>
      <c r="O12" s="59">
        <v>25.1</v>
      </c>
      <c r="P12" s="66">
        <v>70.3333333333333</v>
      </c>
      <c r="Q12" s="67">
        <v>16.925000000000001</v>
      </c>
      <c r="R12" s="68">
        <v>44.2</v>
      </c>
      <c r="S12" s="65">
        <v>463.93094665346001</v>
      </c>
      <c r="T12" s="64">
        <v>15.084194141785799</v>
      </c>
      <c r="U12" s="65">
        <v>340.79407103438501</v>
      </c>
      <c r="V12" s="65">
        <v>41.72</v>
      </c>
      <c r="W12" s="60">
        <v>0.39096929390123097</v>
      </c>
      <c r="X12" s="116">
        <v>50056</v>
      </c>
      <c r="Y12" s="117">
        <v>3.3463281269777001</v>
      </c>
      <c r="Z12" s="66">
        <v>74589.104645714804</v>
      </c>
      <c r="AA12" s="65">
        <v>2.4101664439493402</v>
      </c>
      <c r="AB12" s="14">
        <v>1328.2805000000001</v>
      </c>
      <c r="AC12" s="118">
        <v>3.1241555387881901E-2</v>
      </c>
      <c r="AD12" s="119">
        <v>69680.547451237304</v>
      </c>
      <c r="AE12" s="120">
        <v>8.3498569899454296</v>
      </c>
      <c r="AF12" s="119">
        <v>32.686041391457501</v>
      </c>
      <c r="AG12" s="120">
        <v>93.579920739762201</v>
      </c>
      <c r="AH12" s="121">
        <v>449</v>
      </c>
      <c r="AI12" s="65">
        <v>4.9808971274939902</v>
      </c>
      <c r="AJ12" s="65">
        <v>2.8206000000000002</v>
      </c>
      <c r="AK12" s="71">
        <v>95.763980625275195</v>
      </c>
      <c r="AL12" s="120">
        <v>0.71305592250110095</v>
      </c>
      <c r="AM12" s="110">
        <v>7.7807133421400304E-2</v>
      </c>
    </row>
    <row r="13" spans="1:39" ht="23" x14ac:dyDescent="0.25">
      <c r="A13" s="4" t="s">
        <v>96</v>
      </c>
      <c r="B13" s="59">
        <v>19.850000000000001</v>
      </c>
      <c r="C13" s="102">
        <v>1.2517277878089801E-2</v>
      </c>
      <c r="D13" s="60">
        <v>4.1289682539682501E-2</v>
      </c>
      <c r="E13" s="103">
        <v>1.7023594830177301E-2</v>
      </c>
      <c r="F13" s="104">
        <v>58.68</v>
      </c>
      <c r="G13" s="105">
        <v>521</v>
      </c>
      <c r="H13" s="62">
        <v>1.7723460604723</v>
      </c>
      <c r="I13" s="63">
        <v>2256.0665119999999</v>
      </c>
      <c r="J13" s="64">
        <v>1.6810966810966801</v>
      </c>
      <c r="K13" s="65">
        <v>5846</v>
      </c>
      <c r="L13" s="65">
        <v>758.01</v>
      </c>
      <c r="M13" s="65">
        <v>4032.13</v>
      </c>
      <c r="N13" s="60">
        <v>12.5462842712843</v>
      </c>
      <c r="O13" s="59">
        <v>29.8</v>
      </c>
      <c r="P13" s="66">
        <v>75.5</v>
      </c>
      <c r="Q13" s="67">
        <v>18.941666666666698</v>
      </c>
      <c r="R13" s="68">
        <v>44.7</v>
      </c>
      <c r="S13" s="65">
        <v>428.73537850364198</v>
      </c>
      <c r="T13" s="64">
        <v>13.197969543147201</v>
      </c>
      <c r="U13" s="65">
        <v>153.97119841094701</v>
      </c>
      <c r="V13" s="65">
        <v>42.62</v>
      </c>
      <c r="W13" s="60">
        <v>0.37801368351357301</v>
      </c>
      <c r="X13" s="122">
        <v>58137</v>
      </c>
      <c r="Y13" s="69">
        <v>3.1346843059507901</v>
      </c>
      <c r="Z13" s="66">
        <v>67699.866095086996</v>
      </c>
      <c r="AA13" s="65">
        <v>2.01167207843852</v>
      </c>
      <c r="AB13" s="12">
        <v>1901.9623999999999</v>
      </c>
      <c r="AC13" s="123">
        <v>2.0208241713999001E-2</v>
      </c>
      <c r="AD13" s="65">
        <v>66415.852202543305</v>
      </c>
      <c r="AE13" s="47">
        <v>2.69747966825026</v>
      </c>
      <c r="AF13" s="108">
        <v>30.465367965367999</v>
      </c>
      <c r="AG13" s="52">
        <v>77.8427128427128</v>
      </c>
      <c r="AH13" s="109">
        <v>429</v>
      </c>
      <c r="AI13" s="65">
        <v>3.70779077466343</v>
      </c>
      <c r="AJ13" s="65">
        <v>2.9156499999999999</v>
      </c>
      <c r="AK13" s="65">
        <v>62.950937950937998</v>
      </c>
      <c r="AL13" s="52">
        <v>0.66498917748917796</v>
      </c>
      <c r="AM13" s="110">
        <v>7.3412698412698402E-2</v>
      </c>
    </row>
    <row r="14" spans="1:39" ht="23" x14ac:dyDescent="0.25">
      <c r="A14" s="4" t="s">
        <v>97</v>
      </c>
      <c r="B14" s="59">
        <v>20.03</v>
      </c>
      <c r="C14" s="102">
        <v>7.9417380393868291E-3</v>
      </c>
      <c r="D14" s="60">
        <v>3.2054080310880799E-2</v>
      </c>
      <c r="E14" s="103">
        <v>1.9221126525154598E-2</v>
      </c>
      <c r="F14" s="104">
        <v>51.56</v>
      </c>
      <c r="G14" s="105">
        <v>573</v>
      </c>
      <c r="H14" s="62">
        <v>1.77111111111111</v>
      </c>
      <c r="I14" s="63">
        <v>5056.1895439999998</v>
      </c>
      <c r="J14" s="64">
        <v>3.1509067357512999</v>
      </c>
      <c r="K14" s="65">
        <v>8895</v>
      </c>
      <c r="L14" s="65">
        <v>4088</v>
      </c>
      <c r="M14" s="65">
        <v>5768</v>
      </c>
      <c r="N14" s="60">
        <v>10.662079015544</v>
      </c>
      <c r="O14" s="59">
        <v>31.9</v>
      </c>
      <c r="P14" s="66">
        <v>77.75</v>
      </c>
      <c r="Q14" s="67">
        <v>18.633333333333301</v>
      </c>
      <c r="R14" s="68">
        <v>37.200000000000003</v>
      </c>
      <c r="S14" s="65">
        <v>370.24154589372</v>
      </c>
      <c r="T14" s="64">
        <v>9.3623188405797109</v>
      </c>
      <c r="U14" s="65">
        <v>135.94951690821301</v>
      </c>
      <c r="V14" s="65">
        <v>39.130000000000003</v>
      </c>
      <c r="W14" s="60">
        <v>0.36031980676328501</v>
      </c>
      <c r="X14" s="107">
        <v>53485</v>
      </c>
      <c r="Y14" s="69">
        <v>3.5688577505480099</v>
      </c>
      <c r="Z14" s="66">
        <v>74483.548684297406</v>
      </c>
      <c r="AA14" s="65">
        <v>2.0784747847227001</v>
      </c>
      <c r="AB14" s="12">
        <v>2285.1763999999998</v>
      </c>
      <c r="AC14" s="102">
        <v>2.3125079211804799E-2</v>
      </c>
      <c r="AD14" s="65">
        <v>64010.304268915199</v>
      </c>
      <c r="AE14" s="60">
        <v>3.91381755635354</v>
      </c>
      <c r="AF14" s="108">
        <v>30.8419689119171</v>
      </c>
      <c r="AG14" s="65">
        <v>86.654792746113998</v>
      </c>
      <c r="AH14" s="109">
        <v>526</v>
      </c>
      <c r="AI14" s="65">
        <v>3.4396135265700498</v>
      </c>
      <c r="AJ14" s="65">
        <v>3.1821999999999999</v>
      </c>
      <c r="AK14" s="65">
        <v>134.08678756476701</v>
      </c>
      <c r="AL14" s="65">
        <v>0.70854922279792698</v>
      </c>
      <c r="AM14" s="110">
        <v>6.7195595854922296E-2</v>
      </c>
    </row>
    <row r="15" spans="1:39" ht="23" x14ac:dyDescent="0.25">
      <c r="A15" s="4" t="s">
        <v>98</v>
      </c>
      <c r="B15" s="59">
        <v>19.190000000000001</v>
      </c>
      <c r="C15" s="102">
        <v>1.2241642626845401E-2</v>
      </c>
      <c r="D15" s="60">
        <v>4.0296225816682497E-2</v>
      </c>
      <c r="E15" s="103">
        <v>6.1424192407451101E-3</v>
      </c>
      <c r="F15" s="104">
        <v>54.57</v>
      </c>
      <c r="G15" s="105">
        <v>248</v>
      </c>
      <c r="H15" s="62">
        <v>2.2621880998080601</v>
      </c>
      <c r="I15" s="63">
        <v>3751.3343709999999</v>
      </c>
      <c r="J15" s="64">
        <v>3.8471297177291501</v>
      </c>
      <c r="K15" s="65">
        <v>8804</v>
      </c>
      <c r="L15" s="65">
        <v>1052</v>
      </c>
      <c r="M15" s="65">
        <v>10113</v>
      </c>
      <c r="N15" s="60">
        <v>15.7562321598478</v>
      </c>
      <c r="O15" s="59">
        <v>40.4</v>
      </c>
      <c r="P15" s="66">
        <v>76.4166666666667</v>
      </c>
      <c r="Q15" s="67">
        <v>19.066666666666698</v>
      </c>
      <c r="R15" s="68">
        <v>40</v>
      </c>
      <c r="S15" s="65">
        <v>724.01791426743398</v>
      </c>
      <c r="T15" s="64">
        <v>25.617402431222001</v>
      </c>
      <c r="U15" s="65">
        <v>212.92642354446599</v>
      </c>
      <c r="V15" s="65">
        <v>44.11</v>
      </c>
      <c r="W15" s="60">
        <v>0.40903518873960298</v>
      </c>
      <c r="X15" s="107">
        <v>73226</v>
      </c>
      <c r="Y15" s="69">
        <v>3.49546221338435</v>
      </c>
      <c r="Z15" s="66">
        <v>79027.422597554905</v>
      </c>
      <c r="AA15" s="65">
        <v>2.0795769278192999</v>
      </c>
      <c r="AB15" s="12">
        <v>1922.4631999999999</v>
      </c>
      <c r="AC15" s="102">
        <v>1.5149579220464201E-2</v>
      </c>
      <c r="AD15" s="65">
        <v>82190.870790098299</v>
      </c>
      <c r="AE15" s="60">
        <v>2.0153239114522199</v>
      </c>
      <c r="AF15" s="108">
        <v>29.191246431969599</v>
      </c>
      <c r="AG15" s="65">
        <v>84.0152235965747</v>
      </c>
      <c r="AH15" s="109">
        <v>609</v>
      </c>
      <c r="AI15" s="65">
        <v>3.3781190019193899</v>
      </c>
      <c r="AJ15" s="65">
        <v>4.0340170000000004</v>
      </c>
      <c r="AK15" s="65">
        <v>160.34253092293099</v>
      </c>
      <c r="AL15" s="65">
        <v>0.71484300666032397</v>
      </c>
      <c r="AM15" s="110">
        <v>9.6606406596891806E-2</v>
      </c>
    </row>
    <row r="16" spans="1:39" ht="23" x14ac:dyDescent="0.25">
      <c r="A16" s="4" t="s">
        <v>99</v>
      </c>
      <c r="B16" s="59">
        <v>20.69</v>
      </c>
      <c r="C16" s="102">
        <v>8.6295376977970802E-3</v>
      </c>
      <c r="D16" s="60">
        <v>0.107430888448369</v>
      </c>
      <c r="E16" s="103">
        <v>1.37867470265765E-2</v>
      </c>
      <c r="F16" s="104">
        <v>51.75</v>
      </c>
      <c r="G16" s="105">
        <v>445</v>
      </c>
      <c r="H16" s="62">
        <v>1.8736193465876101</v>
      </c>
      <c r="I16" s="63">
        <v>3815.425851</v>
      </c>
      <c r="J16" s="64">
        <v>1.2200396467832</v>
      </c>
      <c r="K16" s="65">
        <v>6607</v>
      </c>
      <c r="L16" s="65">
        <v>1581.3507</v>
      </c>
      <c r="M16" s="65">
        <v>12703.215899999999</v>
      </c>
      <c r="N16" s="60">
        <v>11.7249954946837</v>
      </c>
      <c r="O16" s="59">
        <v>35.299999999999997</v>
      </c>
      <c r="P16" s="66">
        <v>76.8333333333333</v>
      </c>
      <c r="Q16" s="67">
        <v>18.574999999999999</v>
      </c>
      <c r="R16" s="68">
        <v>42.7</v>
      </c>
      <c r="S16" s="65">
        <v>467.87582839204703</v>
      </c>
      <c r="T16" s="64">
        <v>5.9934891291710297</v>
      </c>
      <c r="U16" s="65">
        <v>179.382967096849</v>
      </c>
      <c r="V16" s="65">
        <v>47.67</v>
      </c>
      <c r="W16" s="60">
        <v>0.41274270433670501</v>
      </c>
      <c r="X16" s="107">
        <v>48343</v>
      </c>
      <c r="Y16" s="69">
        <v>3.6900026720088399</v>
      </c>
      <c r="Z16" s="66">
        <v>76098.607813672294</v>
      </c>
      <c r="AA16" s="65">
        <v>2.1124108346250701</v>
      </c>
      <c r="AB16" s="12">
        <v>1663.8824999999999</v>
      </c>
      <c r="AC16" s="161" t="s">
        <v>126</v>
      </c>
      <c r="AD16" s="65">
        <v>69150.796989300798</v>
      </c>
      <c r="AE16" s="60">
        <v>4.6610437729244598</v>
      </c>
      <c r="AF16" s="108">
        <v>30.201838169039501</v>
      </c>
      <c r="AG16" s="65">
        <v>84.885564966660695</v>
      </c>
      <c r="AH16" s="109">
        <v>657</v>
      </c>
      <c r="AI16" s="65">
        <v>4.5866759679107103</v>
      </c>
      <c r="AJ16" s="65">
        <v>5.8663999999999996</v>
      </c>
      <c r="AK16" s="65">
        <v>195.43341142548201</v>
      </c>
      <c r="AL16" s="65">
        <v>0.64833303297891498</v>
      </c>
      <c r="AM16" s="110">
        <v>5.1432690574878398E-2</v>
      </c>
    </row>
    <row r="17" spans="1:39" ht="23" x14ac:dyDescent="0.25">
      <c r="A17" s="4" t="s">
        <v>100</v>
      </c>
      <c r="B17" s="59">
        <v>20.02</v>
      </c>
      <c r="C17" s="102">
        <v>9.4842687564826497E-3</v>
      </c>
      <c r="D17" s="60">
        <v>3.15721040189125E-2</v>
      </c>
      <c r="E17" s="103">
        <v>1.21969325583024E-2</v>
      </c>
      <c r="F17" s="104">
        <v>51.61</v>
      </c>
      <c r="G17" s="105">
        <v>415</v>
      </c>
      <c r="H17" s="62">
        <v>1.9928801102434499</v>
      </c>
      <c r="I17" s="63">
        <v>3387.4053279999998</v>
      </c>
      <c r="J17" s="64">
        <v>3.5258358662614002</v>
      </c>
      <c r="K17" s="65">
        <v>5300</v>
      </c>
      <c r="L17" s="65">
        <v>794.51800000000003</v>
      </c>
      <c r="M17" s="65">
        <v>9287.4220000000005</v>
      </c>
      <c r="N17" s="60">
        <v>15.304998311381301</v>
      </c>
      <c r="O17" s="59">
        <v>37.700000000000003</v>
      </c>
      <c r="P17" s="66">
        <v>75.75</v>
      </c>
      <c r="Q17" s="67">
        <v>18.566666666666698</v>
      </c>
      <c r="R17" s="68">
        <v>38.6</v>
      </c>
      <c r="S17" s="65">
        <v>631.936150666054</v>
      </c>
      <c r="T17" s="64">
        <v>33.187873220027598</v>
      </c>
      <c r="U17" s="65">
        <v>106.381465319247</v>
      </c>
      <c r="V17" s="65">
        <v>43.01</v>
      </c>
      <c r="W17" s="60">
        <v>0.37758842443729901</v>
      </c>
      <c r="X17" s="107">
        <v>55273</v>
      </c>
      <c r="Y17" s="69">
        <v>3.0700087156493199</v>
      </c>
      <c r="Z17" s="66">
        <v>76313.378838342207</v>
      </c>
      <c r="AA17" s="65">
        <v>1.90262715520114</v>
      </c>
      <c r="AB17" s="12">
        <v>2021.3416</v>
      </c>
      <c r="AC17" s="102">
        <v>2.3839536291432002E-2</v>
      </c>
      <c r="AD17" s="65">
        <v>80738.106710661901</v>
      </c>
      <c r="AE17" s="60">
        <v>2.8877842385555601</v>
      </c>
      <c r="AF17" s="108">
        <v>30.5369807497467</v>
      </c>
      <c r="AG17" s="65">
        <v>72.816616008105399</v>
      </c>
      <c r="AH17" s="109">
        <v>532</v>
      </c>
      <c r="AI17" s="65">
        <v>3.87000459347726</v>
      </c>
      <c r="AJ17" s="65">
        <v>3.8999000000000001</v>
      </c>
      <c r="AK17" s="65">
        <v>237.93988517392799</v>
      </c>
      <c r="AL17" s="65">
        <v>0.665602836879433</v>
      </c>
      <c r="AM17" s="110">
        <v>9.1590678824721397E-2</v>
      </c>
    </row>
    <row r="18" spans="1:39" ht="23" x14ac:dyDescent="0.25">
      <c r="A18" s="4" t="s">
        <v>101</v>
      </c>
      <c r="B18" s="59">
        <v>15.76</v>
      </c>
      <c r="C18" s="102">
        <v>1.24119806763285E-2</v>
      </c>
      <c r="D18" s="60">
        <v>3.2075573841489798E-2</v>
      </c>
      <c r="E18" s="103">
        <v>1.42768841115014E-2</v>
      </c>
      <c r="F18" s="104">
        <v>53.55</v>
      </c>
      <c r="G18" s="105">
        <v>348</v>
      </c>
      <c r="H18" s="62">
        <v>1.36615628299894</v>
      </c>
      <c r="I18" s="63">
        <v>8546.4377779999995</v>
      </c>
      <c r="J18" s="64">
        <v>3.00563014291901</v>
      </c>
      <c r="K18" s="65">
        <v>16100</v>
      </c>
      <c r="L18" s="65">
        <v>1795</v>
      </c>
      <c r="M18" s="65">
        <v>11129</v>
      </c>
      <c r="N18" s="60">
        <v>11.659896058899999</v>
      </c>
      <c r="O18" s="59">
        <v>43.9</v>
      </c>
      <c r="P18" s="66">
        <v>79.6666666666667</v>
      </c>
      <c r="Q18" s="67">
        <v>18.616666666666699</v>
      </c>
      <c r="R18" s="68">
        <v>41.3</v>
      </c>
      <c r="S18" s="65">
        <v>406.44139387539599</v>
      </c>
      <c r="T18" s="64">
        <v>10.966209081309399</v>
      </c>
      <c r="U18" s="65">
        <v>137.740390707497</v>
      </c>
      <c r="V18" s="65">
        <v>41.48</v>
      </c>
      <c r="W18" s="60">
        <v>0.37195459345301002</v>
      </c>
      <c r="X18" s="107">
        <v>74341</v>
      </c>
      <c r="Y18" s="69">
        <v>3.10911485192279</v>
      </c>
      <c r="Z18" s="66">
        <v>79587.858729519605</v>
      </c>
      <c r="AA18" s="65">
        <v>2.0479484249095998</v>
      </c>
      <c r="AB18" s="12">
        <v>1541.1614999999999</v>
      </c>
      <c r="AC18" s="102">
        <v>1.9481860296863301E-2</v>
      </c>
      <c r="AD18" s="65">
        <v>50457.929767037698</v>
      </c>
      <c r="AE18" s="60">
        <v>2.9146634615384599</v>
      </c>
      <c r="AF18" s="108">
        <v>27.9969683845821</v>
      </c>
      <c r="AG18" s="65">
        <v>80.944131658726704</v>
      </c>
      <c r="AH18" s="109">
        <v>753</v>
      </c>
      <c r="AI18" s="65">
        <v>1.6314677930306201</v>
      </c>
      <c r="AJ18" s="65">
        <v>5.3041</v>
      </c>
      <c r="AK18" s="65">
        <v>81.602425292334303</v>
      </c>
      <c r="AL18" s="65">
        <v>0.65608488523170205</v>
      </c>
      <c r="AM18" s="110">
        <v>8.1420528367258493E-2</v>
      </c>
    </row>
    <row r="19" spans="1:39" ht="23" x14ac:dyDescent="0.25">
      <c r="A19" s="4" t="s">
        <v>102</v>
      </c>
      <c r="B19" s="59">
        <v>19.57</v>
      </c>
      <c r="C19" s="102">
        <v>9.5151302722280597E-3</v>
      </c>
      <c r="D19" s="60">
        <v>7.4101914762198906E-2</v>
      </c>
      <c r="E19" s="103">
        <v>1.04928633388534E-2</v>
      </c>
      <c r="F19" s="104">
        <v>45.32</v>
      </c>
      <c r="G19" s="105">
        <v>511</v>
      </c>
      <c r="H19" s="62">
        <v>2.5729745979257501</v>
      </c>
      <c r="I19" s="63">
        <v>2468.6884359999999</v>
      </c>
      <c r="J19" s="64">
        <v>1.67387276096356</v>
      </c>
      <c r="K19" s="65">
        <v>4876</v>
      </c>
      <c r="L19" s="65">
        <v>992.39</v>
      </c>
      <c r="M19" s="65">
        <v>3719.1</v>
      </c>
      <c r="N19" s="60">
        <v>10.150339715874001</v>
      </c>
      <c r="O19" s="59">
        <v>33.799999999999997</v>
      </c>
      <c r="P19" s="66">
        <v>78.3333333333333</v>
      </c>
      <c r="Q19" s="67">
        <v>18.733333333333299</v>
      </c>
      <c r="R19" s="68">
        <v>37.9</v>
      </c>
      <c r="S19" s="65">
        <v>691.14685104464104</v>
      </c>
      <c r="T19" s="64">
        <v>18.1121298662258</v>
      </c>
      <c r="U19" s="65">
        <v>247.635202164437</v>
      </c>
      <c r="V19" s="65">
        <v>44.47</v>
      </c>
      <c r="W19" s="60">
        <v>0.39526379077108098</v>
      </c>
      <c r="X19" s="107">
        <v>43901</v>
      </c>
      <c r="Y19" s="69">
        <v>3.3224626449252899</v>
      </c>
      <c r="Z19" s="66">
        <v>68250.846953564804</v>
      </c>
      <c r="AA19" s="65">
        <v>2.05485701607736</v>
      </c>
      <c r="AB19" s="12">
        <v>1648.7675999999999</v>
      </c>
      <c r="AC19" s="102">
        <v>3.1448400724200402E-2</v>
      </c>
      <c r="AD19" s="65">
        <v>67822.318626658394</v>
      </c>
      <c r="AE19" s="60">
        <v>8.4819862177372993</v>
      </c>
      <c r="AF19" s="108">
        <v>21.2600370599135</v>
      </c>
      <c r="AG19" s="65">
        <v>67.294626312538597</v>
      </c>
      <c r="AH19" s="109">
        <v>562</v>
      </c>
      <c r="AI19" s="65">
        <v>5.2457537952803204</v>
      </c>
      <c r="AJ19" s="65">
        <v>3.45</v>
      </c>
      <c r="AK19" s="65">
        <v>46.003705991352703</v>
      </c>
      <c r="AL19" s="65">
        <v>0.70826127239036396</v>
      </c>
      <c r="AM19" s="110">
        <v>6.0747374922791801E-2</v>
      </c>
    </row>
    <row r="20" spans="1:39" ht="23" x14ac:dyDescent="0.25">
      <c r="A20" s="4" t="s">
        <v>103</v>
      </c>
      <c r="B20" s="59">
        <v>17.96</v>
      </c>
      <c r="C20" s="102">
        <v>1.13319280679797E-2</v>
      </c>
      <c r="D20" s="60">
        <v>7.2754621848739501E-2</v>
      </c>
      <c r="E20" s="103">
        <v>9.0477626341816404E-3</v>
      </c>
      <c r="F20" s="104">
        <v>51.3</v>
      </c>
      <c r="G20" s="105">
        <v>323</v>
      </c>
      <c r="H20" s="62">
        <v>2.02372858761581</v>
      </c>
      <c r="I20" s="63">
        <v>1519.8246099999999</v>
      </c>
      <c r="J20" s="64">
        <v>1.69747899159664</v>
      </c>
      <c r="K20" s="65">
        <v>13460</v>
      </c>
      <c r="L20" s="65">
        <v>2093.48</v>
      </c>
      <c r="M20" s="65">
        <v>8117.62</v>
      </c>
      <c r="N20" s="60">
        <v>8.4853034547152202</v>
      </c>
      <c r="O20" s="59">
        <v>30.1</v>
      </c>
      <c r="P20" s="66">
        <v>70.75</v>
      </c>
      <c r="Q20" s="67">
        <v>19.05</v>
      </c>
      <c r="R20" s="68">
        <v>41</v>
      </c>
      <c r="S20" s="65">
        <v>395.89415450243303</v>
      </c>
      <c r="T20" s="64">
        <v>8.6982603479304093</v>
      </c>
      <c r="U20" s="65">
        <v>192.27989068852901</v>
      </c>
      <c r="V20" s="65">
        <v>42</v>
      </c>
      <c r="W20" s="60">
        <v>0.40833300006665302</v>
      </c>
      <c r="X20" s="107">
        <v>46588</v>
      </c>
      <c r="Y20" s="69">
        <v>3.4149940113231101</v>
      </c>
      <c r="Z20" s="66">
        <v>75703.140626078399</v>
      </c>
      <c r="AA20" s="65">
        <v>2.0702615874177099</v>
      </c>
      <c r="AB20" s="12">
        <v>1828.6320000000001</v>
      </c>
      <c r="AC20" s="102">
        <v>2.5418185014704001E-2</v>
      </c>
      <c r="AD20" s="65">
        <v>63522.448680864603</v>
      </c>
      <c r="AE20" s="60">
        <v>5.6850147040020502</v>
      </c>
      <c r="AF20" s="108">
        <v>25.938375350140099</v>
      </c>
      <c r="AG20" s="65">
        <v>83.202614379085006</v>
      </c>
      <c r="AH20" s="109">
        <v>760</v>
      </c>
      <c r="AI20" s="65">
        <v>4.1391721655668903</v>
      </c>
      <c r="AJ20" s="65">
        <v>5.1052999999999997</v>
      </c>
      <c r="AK20" s="65">
        <v>74.797385620914994</v>
      </c>
      <c r="AL20" s="65">
        <v>0.61779645191409904</v>
      </c>
      <c r="AM20" s="110">
        <v>3.7385620915032697E-2</v>
      </c>
    </row>
    <row r="21" spans="1:39" ht="23" x14ac:dyDescent="0.25">
      <c r="A21" s="4" t="s">
        <v>104</v>
      </c>
      <c r="B21" s="59">
        <v>17.010000000000002</v>
      </c>
      <c r="C21" s="102">
        <v>1.06196554715578E-2</v>
      </c>
      <c r="D21" s="60">
        <v>2.6862526168876501E-2</v>
      </c>
      <c r="E21" s="103">
        <v>3.0565857159947402E-3</v>
      </c>
      <c r="F21" s="104">
        <v>54.02</v>
      </c>
      <c r="G21" s="105">
        <v>95</v>
      </c>
      <c r="H21" s="62">
        <v>1.7545118504022601</v>
      </c>
      <c r="I21" s="63">
        <v>2480.9978299999998</v>
      </c>
      <c r="J21" s="64">
        <v>2.1493370551291</v>
      </c>
      <c r="K21" s="65">
        <v>2425</v>
      </c>
      <c r="L21" s="65">
        <v>694.6</v>
      </c>
      <c r="M21" s="65">
        <v>6070.3</v>
      </c>
      <c r="N21" s="60">
        <v>15.300837404047501</v>
      </c>
      <c r="O21" s="59">
        <v>29.2</v>
      </c>
      <c r="P21" s="66">
        <v>77.8333333333333</v>
      </c>
      <c r="Q21" s="67">
        <v>17.533333333333299</v>
      </c>
      <c r="R21" s="68">
        <v>43.6</v>
      </c>
      <c r="S21" s="65">
        <v>549.14111763426797</v>
      </c>
      <c r="T21" s="64">
        <v>22.3961730811046</v>
      </c>
      <c r="U21" s="65">
        <v>183.561643835616</v>
      </c>
      <c r="V21" s="65">
        <v>40.15</v>
      </c>
      <c r="W21" s="60">
        <v>0.37377473363774699</v>
      </c>
      <c r="X21" s="107">
        <v>62981</v>
      </c>
      <c r="Y21" s="69">
        <v>3.7283839314296201</v>
      </c>
      <c r="Z21" s="66">
        <v>74344.413973258605</v>
      </c>
      <c r="AA21" s="65">
        <v>2.25627697893096</v>
      </c>
      <c r="AB21" s="12">
        <v>1597.1677999999999</v>
      </c>
      <c r="AC21" s="102">
        <v>2.3959180507695198E-2</v>
      </c>
      <c r="AD21" s="65">
        <v>78496.991636175793</v>
      </c>
      <c r="AE21" s="60">
        <v>3.5789077129339302</v>
      </c>
      <c r="AF21" s="108">
        <v>35.785066294487102</v>
      </c>
      <c r="AG21" s="65">
        <v>103.635729239358</v>
      </c>
      <c r="AH21" s="109">
        <v>486</v>
      </c>
      <c r="AI21" s="65">
        <v>2.2831050228310499</v>
      </c>
      <c r="AJ21" s="65">
        <v>1.81159</v>
      </c>
      <c r="AK21" s="65">
        <v>381.72365666434098</v>
      </c>
      <c r="AL21" s="65">
        <v>0.69563852058618303</v>
      </c>
      <c r="AM21" s="110">
        <v>9.9232379623168193E-2</v>
      </c>
    </row>
    <row r="22" spans="1:39" ht="23" x14ac:dyDescent="0.25">
      <c r="A22" s="4" t="s">
        <v>105</v>
      </c>
      <c r="B22" s="59">
        <v>19.670000000000002</v>
      </c>
      <c r="C22" s="102">
        <v>1.0014386607376399E-2</v>
      </c>
      <c r="D22" s="60">
        <v>0.111899548532731</v>
      </c>
      <c r="E22" s="103">
        <v>5.2516411378555799E-3</v>
      </c>
      <c r="F22" s="104">
        <v>47.34</v>
      </c>
      <c r="G22" s="105">
        <v>216</v>
      </c>
      <c r="H22" s="62">
        <v>2.3686493184634401</v>
      </c>
      <c r="I22" s="63">
        <v>1321.1303350000001</v>
      </c>
      <c r="J22" s="64">
        <v>1.9450714823175299</v>
      </c>
      <c r="K22" s="65">
        <v>6200</v>
      </c>
      <c r="L22" s="65">
        <v>1617.55</v>
      </c>
      <c r="M22" s="124">
        <v>2120.04</v>
      </c>
      <c r="N22" s="60">
        <v>11.687471783295701</v>
      </c>
      <c r="O22" s="59">
        <v>27.9</v>
      </c>
      <c r="P22" s="66">
        <v>74.0833333333333</v>
      </c>
      <c r="Q22" s="67">
        <v>17.25</v>
      </c>
      <c r="R22" s="68">
        <v>36.1</v>
      </c>
      <c r="S22" s="65">
        <v>505.83952912019799</v>
      </c>
      <c r="T22" s="64">
        <v>17.5030978934325</v>
      </c>
      <c r="U22" s="65">
        <v>400.61771995043398</v>
      </c>
      <c r="V22" s="65">
        <v>43.85</v>
      </c>
      <c r="W22" s="60">
        <v>0.42030669144981397</v>
      </c>
      <c r="X22" s="107">
        <v>28641</v>
      </c>
      <c r="Y22" s="69">
        <v>3.5098529730880599</v>
      </c>
      <c r="Z22" s="66">
        <v>70609.604153867505</v>
      </c>
      <c r="AA22" s="65">
        <v>2.4036805009135298</v>
      </c>
      <c r="AB22" s="12">
        <v>1771.3214</v>
      </c>
      <c r="AC22" s="102">
        <v>4.8895047123567001E-2</v>
      </c>
      <c r="AD22" s="65">
        <v>56153.195723890101</v>
      </c>
      <c r="AE22" s="60">
        <v>18.168389955686902</v>
      </c>
      <c r="AF22" s="108">
        <v>27.118133935289698</v>
      </c>
      <c r="AG22" s="65">
        <v>85.887885628291897</v>
      </c>
      <c r="AH22" s="109">
        <v>394</v>
      </c>
      <c r="AI22" s="65">
        <v>7.6363073110285002</v>
      </c>
      <c r="AJ22" s="65">
        <v>3.0632999999999999</v>
      </c>
      <c r="AK22" s="65">
        <v>41.911211437170799</v>
      </c>
      <c r="AL22" s="65">
        <v>0.68459367945823901</v>
      </c>
      <c r="AM22" s="110">
        <v>5.3273137697516897E-2</v>
      </c>
    </row>
    <row r="23" spans="1:39" ht="23" x14ac:dyDescent="0.25">
      <c r="A23" s="4" t="s">
        <v>106</v>
      </c>
      <c r="B23" s="72">
        <v>22.62</v>
      </c>
      <c r="C23" s="125">
        <v>7.13251155624037E-3</v>
      </c>
      <c r="D23" s="73">
        <v>5.3468929043631597E-2</v>
      </c>
      <c r="E23" s="126">
        <v>9.4011142061281305E-3</v>
      </c>
      <c r="F23" s="127">
        <v>42.66</v>
      </c>
      <c r="G23" s="128">
        <v>395</v>
      </c>
      <c r="H23" s="75">
        <v>2.4037037037036999</v>
      </c>
      <c r="I23" s="76">
        <v>6103.7364829999997</v>
      </c>
      <c r="J23" s="77">
        <v>1.5469369766416901</v>
      </c>
      <c r="K23" s="78">
        <v>2100</v>
      </c>
      <c r="L23" s="78">
        <v>854</v>
      </c>
      <c r="M23" s="78">
        <v>1981</v>
      </c>
      <c r="N23" s="73">
        <v>10.1182459233142</v>
      </c>
      <c r="O23" s="72">
        <v>32.700000000000003</v>
      </c>
      <c r="P23" s="79">
        <v>74.8333333333333</v>
      </c>
      <c r="Q23" s="80">
        <v>18.941666666666698</v>
      </c>
      <c r="R23" s="81">
        <v>35.9</v>
      </c>
      <c r="S23" s="78">
        <v>531.96296296296305</v>
      </c>
      <c r="T23" s="77">
        <v>16.7777777777778</v>
      </c>
      <c r="U23" s="78">
        <v>234.59259259259301</v>
      </c>
      <c r="V23" s="78">
        <v>41.37</v>
      </c>
      <c r="W23" s="73">
        <v>0.37347962962962999</v>
      </c>
      <c r="X23" s="129">
        <v>41586</v>
      </c>
      <c r="Y23" s="82">
        <v>3.5517752778292699</v>
      </c>
      <c r="Z23" s="79">
        <v>73758.151406146804</v>
      </c>
      <c r="AA23" s="78">
        <v>1.8999680197220701</v>
      </c>
      <c r="AB23" s="130">
        <v>1603.5434</v>
      </c>
      <c r="AC23" s="125">
        <v>3.2774109854876797E-2</v>
      </c>
      <c r="AD23" s="78">
        <v>66454.570503763796</v>
      </c>
      <c r="AE23" s="73">
        <v>2.4964141073236599</v>
      </c>
      <c r="AF23" s="108">
        <v>28.378140149845699</v>
      </c>
      <c r="AG23" s="65">
        <v>100.044072278537</v>
      </c>
      <c r="AH23" s="109">
        <v>392</v>
      </c>
      <c r="AI23" s="65">
        <v>4.92592592592593</v>
      </c>
      <c r="AJ23" s="65">
        <v>2.5470000000000002</v>
      </c>
      <c r="AK23" s="65">
        <v>80.9739973556633</v>
      </c>
      <c r="AL23" s="65">
        <v>0.70123402379902999</v>
      </c>
      <c r="AM23" s="131">
        <v>5.7514323490524502E-2</v>
      </c>
    </row>
    <row r="25" spans="1:39" ht="23" x14ac:dyDescent="0.25">
      <c r="A25" s="85"/>
    </row>
    <row r="26" spans="1:39" ht="23" x14ac:dyDescent="0.25">
      <c r="A26" s="85"/>
    </row>
    <row r="27" spans="1:39" ht="23" x14ac:dyDescent="0.25">
      <c r="A27" s="85"/>
    </row>
  </sheetData>
  <mergeCells count="9">
    <mergeCell ref="B1:Q1"/>
    <mergeCell ref="R1:AM1"/>
    <mergeCell ref="B2:D2"/>
    <mergeCell ref="E2:H2"/>
    <mergeCell ref="I2:N2"/>
    <mergeCell ref="O2:Q2"/>
    <mergeCell ref="R2:W2"/>
    <mergeCell ref="X2:AE2"/>
    <mergeCell ref="AF2:AM2"/>
  </mergeCells>
  <phoneticPr fontId="9" type="noConversion"/>
  <conditionalFormatting sqref="G6:G23">
    <cfRule type="colorScale" priority="6">
      <colorScale>
        <cfvo type="min"/>
        <cfvo type="max"/>
        <color rgb="FFFCFCFF"/>
        <color rgb="FFF8696B"/>
      </colorScale>
    </cfRule>
  </conditionalFormatting>
  <conditionalFormatting sqref="L6:L23">
    <cfRule type="colorScale" priority="5">
      <colorScale>
        <cfvo type="min"/>
        <cfvo type="max"/>
        <color rgb="FFFCFCFF"/>
        <color rgb="FFF8696B"/>
      </colorScale>
    </cfRule>
  </conditionalFormatting>
  <conditionalFormatting sqref="R6:R23">
    <cfRule type="colorScale" priority="4">
      <colorScale>
        <cfvo type="min"/>
        <cfvo type="max"/>
        <color rgb="FFFCFCFF"/>
        <color rgb="FFF8696B"/>
      </colorScale>
    </cfRule>
  </conditionalFormatting>
  <conditionalFormatting sqref="S6:S23">
    <cfRule type="colorScale" priority="3">
      <colorScale>
        <cfvo type="min"/>
        <cfvo type="max"/>
        <color rgb="FFFCFCFF"/>
        <color rgb="FFF8696B"/>
      </colorScale>
    </cfRule>
  </conditionalFormatting>
  <conditionalFormatting sqref="Z6:Z23">
    <cfRule type="colorScale" priority="1">
      <colorScale>
        <cfvo type="min"/>
        <cfvo type="max"/>
        <color rgb="FFFCFCFF"/>
        <color rgb="FFF8696B"/>
      </colorScale>
    </cfRule>
  </conditionalFormatting>
  <conditionalFormatting sqref="AD6:AD23">
    <cfRule type="colorScale" priority="2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9"/>
  <sheetViews>
    <sheetView zoomScale="70" zoomScaleNormal="70" workbookViewId="0">
      <selection activeCell="R2" sqref="R2:W2"/>
    </sheetView>
  </sheetViews>
  <sheetFormatPr defaultColWidth="8.90625" defaultRowHeight="14" x14ac:dyDescent="0.25"/>
  <cols>
    <col min="1" max="1" width="16.6328125" customWidth="1"/>
    <col min="2" max="24" width="10.81640625" customWidth="1"/>
  </cols>
  <sheetData>
    <row r="1" spans="1:39" ht="25.5" x14ac:dyDescent="0.25">
      <c r="A1" s="2"/>
      <c r="B1" s="132" t="s">
        <v>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4"/>
      <c r="R1" s="135" t="s">
        <v>1</v>
      </c>
      <c r="S1" s="135"/>
      <c r="T1" s="135"/>
      <c r="U1" s="135"/>
      <c r="V1" s="135"/>
      <c r="W1" s="135"/>
      <c r="X1" s="135"/>
      <c r="Y1" s="135"/>
      <c r="Z1" s="135"/>
      <c r="AA1" s="135"/>
      <c r="AB1" s="136"/>
      <c r="AC1" s="136"/>
      <c r="AD1" s="136"/>
      <c r="AE1" s="136"/>
      <c r="AF1" s="136"/>
      <c r="AG1" s="136"/>
      <c r="AH1" s="137"/>
      <c r="AI1" s="136"/>
      <c r="AJ1" s="136"/>
      <c r="AK1" s="136"/>
      <c r="AL1" s="136"/>
      <c r="AM1" s="138"/>
    </row>
    <row r="2" spans="1:39" ht="25.5" x14ac:dyDescent="0.25">
      <c r="A2" s="3"/>
      <c r="B2" s="132" t="s">
        <v>2</v>
      </c>
      <c r="C2" s="133"/>
      <c r="D2" s="133"/>
      <c r="E2" s="139" t="s">
        <v>3</v>
      </c>
      <c r="F2" s="140"/>
      <c r="G2" s="140"/>
      <c r="H2" s="141"/>
      <c r="I2" s="142" t="s">
        <v>4</v>
      </c>
      <c r="J2" s="143"/>
      <c r="K2" s="143"/>
      <c r="L2" s="143"/>
      <c r="M2" s="143"/>
      <c r="N2" s="144"/>
      <c r="O2" s="142" t="s">
        <v>5</v>
      </c>
      <c r="P2" s="143"/>
      <c r="Q2" s="145"/>
      <c r="R2" s="146" t="s">
        <v>6</v>
      </c>
      <c r="S2" s="147"/>
      <c r="T2" s="147"/>
      <c r="U2" s="147"/>
      <c r="V2" s="147"/>
      <c r="W2" s="148"/>
      <c r="X2" s="146" t="s">
        <v>7</v>
      </c>
      <c r="Y2" s="147"/>
      <c r="Z2" s="147"/>
      <c r="AA2" s="147"/>
      <c r="AB2" s="147"/>
      <c r="AC2" s="147"/>
      <c r="AD2" s="147"/>
      <c r="AE2" s="148"/>
      <c r="AF2" s="149" t="s">
        <v>8</v>
      </c>
      <c r="AG2" s="149"/>
      <c r="AH2" s="149"/>
      <c r="AI2" s="149"/>
      <c r="AJ2" s="149"/>
      <c r="AK2" s="149"/>
      <c r="AL2" s="149"/>
      <c r="AM2" s="150"/>
    </row>
    <row r="3" spans="1:39" ht="135" x14ac:dyDescent="0.25">
      <c r="A3" s="4" t="s">
        <v>9</v>
      </c>
      <c r="B3" s="5" t="s">
        <v>10</v>
      </c>
      <c r="C3" s="6" t="s">
        <v>11</v>
      </c>
      <c r="D3" s="7" t="s">
        <v>12</v>
      </c>
      <c r="E3" s="8" t="s">
        <v>13</v>
      </c>
      <c r="F3" s="6" t="s">
        <v>14</v>
      </c>
      <c r="G3" s="9" t="s">
        <v>15</v>
      </c>
      <c r="H3" s="10" t="s">
        <v>16</v>
      </c>
      <c r="I3" s="5" t="s">
        <v>17</v>
      </c>
      <c r="J3" s="11" t="s">
        <v>18</v>
      </c>
      <c r="K3" s="6" t="s">
        <v>19</v>
      </c>
      <c r="L3" s="12" t="s">
        <v>20</v>
      </c>
      <c r="M3" s="6" t="s">
        <v>21</v>
      </c>
      <c r="N3" s="13" t="s">
        <v>22</v>
      </c>
      <c r="O3" s="5" t="s">
        <v>23</v>
      </c>
      <c r="P3" s="9" t="s">
        <v>24</v>
      </c>
      <c r="Q3" s="14" t="s">
        <v>25</v>
      </c>
      <c r="R3" s="5" t="s">
        <v>26</v>
      </c>
      <c r="S3" s="12" t="s">
        <v>27</v>
      </c>
      <c r="T3" s="12" t="s">
        <v>28</v>
      </c>
      <c r="U3" s="6" t="s">
        <v>29</v>
      </c>
      <c r="V3" s="12" t="s">
        <v>30</v>
      </c>
      <c r="W3" s="7" t="s">
        <v>31</v>
      </c>
      <c r="X3" s="9" t="s">
        <v>32</v>
      </c>
      <c r="Y3" s="9" t="s">
        <v>33</v>
      </c>
      <c r="Z3" s="9" t="s">
        <v>34</v>
      </c>
      <c r="AA3" s="9" t="s">
        <v>35</v>
      </c>
      <c r="AB3" s="9" t="s">
        <v>36</v>
      </c>
      <c r="AC3" s="9" t="s">
        <v>37</v>
      </c>
      <c r="AD3" s="9" t="s">
        <v>38</v>
      </c>
      <c r="AE3" s="9" t="s">
        <v>39</v>
      </c>
      <c r="AF3" s="9" t="s">
        <v>40</v>
      </c>
      <c r="AG3" s="9" t="s">
        <v>41</v>
      </c>
      <c r="AH3" s="9" t="s">
        <v>42</v>
      </c>
      <c r="AI3" s="9" t="s">
        <v>43</v>
      </c>
      <c r="AJ3" s="9" t="s">
        <v>44</v>
      </c>
      <c r="AK3" s="9" t="s">
        <v>45</v>
      </c>
      <c r="AL3" s="9" t="s">
        <v>46</v>
      </c>
      <c r="AM3" s="9" t="s">
        <v>47</v>
      </c>
    </row>
    <row r="4" spans="1:39" ht="23" x14ac:dyDescent="0.25">
      <c r="A4" s="15" t="s">
        <v>48</v>
      </c>
      <c r="B4" s="16" t="s">
        <v>49</v>
      </c>
      <c r="C4" s="17" t="s">
        <v>49</v>
      </c>
      <c r="D4" s="18" t="s">
        <v>49</v>
      </c>
      <c r="E4" s="17" t="s">
        <v>49</v>
      </c>
      <c r="F4" s="16" t="s">
        <v>49</v>
      </c>
      <c r="G4" s="19" t="s">
        <v>49</v>
      </c>
      <c r="H4" s="19" t="s">
        <v>49</v>
      </c>
      <c r="I4" s="16" t="s">
        <v>49</v>
      </c>
      <c r="J4" s="19" t="s">
        <v>49</v>
      </c>
      <c r="K4" s="20" t="s">
        <v>50</v>
      </c>
      <c r="L4" s="21" t="s">
        <v>50</v>
      </c>
      <c r="M4" s="19" t="s">
        <v>49</v>
      </c>
      <c r="N4" s="19" t="s">
        <v>49</v>
      </c>
      <c r="O4" s="22" t="s">
        <v>50</v>
      </c>
      <c r="P4" s="23" t="s">
        <v>50</v>
      </c>
      <c r="Q4" s="19" t="s">
        <v>49</v>
      </c>
      <c r="R4" s="22" t="s">
        <v>50</v>
      </c>
      <c r="S4" s="22" t="s">
        <v>50</v>
      </c>
      <c r="T4" s="22" t="s">
        <v>50</v>
      </c>
      <c r="U4" s="20" t="s">
        <v>50</v>
      </c>
      <c r="V4" s="21" t="s">
        <v>50</v>
      </c>
      <c r="W4" s="22" t="s">
        <v>50</v>
      </c>
      <c r="X4" s="23" t="s">
        <v>50</v>
      </c>
    </row>
    <row r="5" spans="1:39" ht="23" x14ac:dyDescent="0.25">
      <c r="A5" s="4"/>
      <c r="B5" s="24" t="s">
        <v>51</v>
      </c>
      <c r="C5" s="25" t="s">
        <v>53</v>
      </c>
      <c r="D5" s="26" t="s">
        <v>56</v>
      </c>
      <c r="E5" s="26" t="s">
        <v>57</v>
      </c>
      <c r="F5" s="24" t="s">
        <v>58</v>
      </c>
      <c r="G5" s="27" t="s">
        <v>59</v>
      </c>
      <c r="H5" s="27" t="s">
        <v>61</v>
      </c>
      <c r="I5" s="24" t="s">
        <v>64</v>
      </c>
      <c r="J5" s="27" t="s">
        <v>65</v>
      </c>
      <c r="K5" s="28" t="s">
        <v>66</v>
      </c>
      <c r="L5" s="29" t="s">
        <v>67</v>
      </c>
      <c r="M5" s="30" t="s">
        <v>68</v>
      </c>
      <c r="N5" s="30" t="s">
        <v>69</v>
      </c>
      <c r="O5" s="30" t="s">
        <v>71</v>
      </c>
      <c r="P5" s="31" t="s">
        <v>72</v>
      </c>
      <c r="Q5" s="30" t="s">
        <v>74</v>
      </c>
      <c r="R5" s="30" t="s">
        <v>75</v>
      </c>
      <c r="S5" s="30" t="s">
        <v>78</v>
      </c>
      <c r="T5" s="30" t="s">
        <v>79</v>
      </c>
      <c r="U5" s="32" t="s">
        <v>80</v>
      </c>
      <c r="V5" s="29" t="s">
        <v>81</v>
      </c>
      <c r="W5" s="30" t="s">
        <v>82</v>
      </c>
      <c r="X5" s="31" t="s">
        <v>87</v>
      </c>
    </row>
    <row r="6" spans="1:39" ht="23" x14ac:dyDescent="0.25">
      <c r="A6" s="4"/>
      <c r="B6" s="33" t="s">
        <v>51</v>
      </c>
      <c r="C6" s="34" t="s">
        <v>52</v>
      </c>
      <c r="D6" s="35" t="s">
        <v>53</v>
      </c>
      <c r="E6" s="35" t="s">
        <v>54</v>
      </c>
      <c r="F6" s="36" t="s">
        <v>55</v>
      </c>
      <c r="G6" s="37" t="s">
        <v>56</v>
      </c>
      <c r="H6" s="36" t="s">
        <v>57</v>
      </c>
      <c r="I6" s="35" t="s">
        <v>58</v>
      </c>
      <c r="J6" s="38" t="s">
        <v>59</v>
      </c>
      <c r="K6" s="35" t="s">
        <v>60</v>
      </c>
      <c r="L6" s="39" t="s">
        <v>61</v>
      </c>
      <c r="M6" s="40" t="s">
        <v>62</v>
      </c>
      <c r="N6" s="39" t="s">
        <v>63</v>
      </c>
      <c r="O6" s="40" t="s">
        <v>64</v>
      </c>
      <c r="P6" s="39" t="s">
        <v>65</v>
      </c>
      <c r="Q6" s="41" t="s">
        <v>66</v>
      </c>
      <c r="R6" s="42" t="s">
        <v>67</v>
      </c>
      <c r="S6" s="41" t="s">
        <v>68</v>
      </c>
      <c r="T6" s="42" t="s">
        <v>69</v>
      </c>
      <c r="U6" s="43" t="s">
        <v>70</v>
      </c>
      <c r="V6" s="44" t="s">
        <v>71</v>
      </c>
      <c r="W6" s="40" t="s">
        <v>72</v>
      </c>
      <c r="X6" s="45" t="s">
        <v>73</v>
      </c>
    </row>
    <row r="7" spans="1:39" ht="23" x14ac:dyDescent="0.25">
      <c r="A7" s="4" t="s">
        <v>89</v>
      </c>
      <c r="B7" s="46">
        <v>13.62</v>
      </c>
      <c r="C7" s="47">
        <v>4.2012883204814704E-3</v>
      </c>
      <c r="D7" s="48">
        <v>1484</v>
      </c>
      <c r="E7" s="49">
        <v>1.0897450361010801</v>
      </c>
      <c r="F7" s="50">
        <v>16378.754570999999</v>
      </c>
      <c r="G7" s="51">
        <v>7.8319541094602201</v>
      </c>
      <c r="H7" s="52">
        <v>3432.17</v>
      </c>
      <c r="I7" s="46">
        <v>38.9</v>
      </c>
      <c r="J7" s="53">
        <v>79</v>
      </c>
      <c r="K7" s="54">
        <v>17.533333333333299</v>
      </c>
      <c r="L7" s="55">
        <v>36.1</v>
      </c>
      <c r="M7" s="52">
        <v>457.42610559566799</v>
      </c>
      <c r="N7" s="51">
        <v>6.0459912755716001</v>
      </c>
      <c r="O7" s="52">
        <v>44.01</v>
      </c>
      <c r="P7" s="47">
        <v>0.37848732701564403</v>
      </c>
      <c r="Q7" s="56">
        <v>2.0041527082517399</v>
      </c>
      <c r="R7" s="53">
        <v>96413.248096533498</v>
      </c>
      <c r="S7" s="57">
        <v>1.3059815059445199E-2</v>
      </c>
      <c r="T7" s="52">
        <v>105564.294076217</v>
      </c>
      <c r="U7" s="58">
        <v>1.3703854929746599</v>
      </c>
      <c r="V7" s="46">
        <v>37.4915365807786</v>
      </c>
      <c r="W7" s="52">
        <v>78.630336656009007</v>
      </c>
      <c r="X7" s="47">
        <v>0.76228136167011495</v>
      </c>
    </row>
    <row r="8" spans="1:39" ht="23" x14ac:dyDescent="0.25">
      <c r="A8" s="4" t="s">
        <v>90</v>
      </c>
      <c r="B8" s="59">
        <v>21.29</v>
      </c>
      <c r="C8" s="60">
        <v>6.2488988580750401E-2</v>
      </c>
      <c r="D8" s="61">
        <v>560</v>
      </c>
      <c r="E8" s="62">
        <v>1.01795454545455</v>
      </c>
      <c r="F8" s="63">
        <v>1606.80591</v>
      </c>
      <c r="G8" s="64">
        <v>4.0864600326264302</v>
      </c>
      <c r="H8" s="65">
        <v>1548.53</v>
      </c>
      <c r="I8" s="59">
        <v>38.4</v>
      </c>
      <c r="J8" s="66">
        <v>72.1666666666667</v>
      </c>
      <c r="K8" s="67">
        <v>19.758333333333301</v>
      </c>
      <c r="L8" s="68">
        <v>40</v>
      </c>
      <c r="M8" s="65">
        <v>255.93181818181799</v>
      </c>
      <c r="N8" s="64">
        <v>9.3712121212121193</v>
      </c>
      <c r="O8" s="65">
        <v>44.4</v>
      </c>
      <c r="P8" s="60">
        <v>0.38900000000000001</v>
      </c>
      <c r="Q8" s="69">
        <v>3.6161246995209599</v>
      </c>
      <c r="R8" s="66">
        <v>70532.062140957001</v>
      </c>
      <c r="S8" s="70">
        <v>1.9442206516033698E-2</v>
      </c>
      <c r="T8" s="65">
        <v>78305.622894767497</v>
      </c>
      <c r="U8" s="71">
        <v>4.92181491925147</v>
      </c>
      <c r="V8" s="59">
        <v>31.9902120717781</v>
      </c>
      <c r="W8" s="65">
        <v>97.296084828711301</v>
      </c>
      <c r="X8" s="60">
        <v>0.72816068515497601</v>
      </c>
    </row>
    <row r="9" spans="1:39" ht="23" x14ac:dyDescent="0.25">
      <c r="A9" s="4" t="s">
        <v>91</v>
      </c>
      <c r="B9" s="59">
        <v>15.88</v>
      </c>
      <c r="C9" s="60">
        <v>1.76060855263158E-2</v>
      </c>
      <c r="D9" s="61">
        <v>164</v>
      </c>
      <c r="E9" s="62">
        <v>0.77376267143708999</v>
      </c>
      <c r="F9" s="63">
        <v>1339.4879000000001</v>
      </c>
      <c r="G9" s="64">
        <v>5.4194078947368398</v>
      </c>
      <c r="H9" s="65">
        <v>918.274</v>
      </c>
      <c r="I9" s="59">
        <v>27.7</v>
      </c>
      <c r="J9" s="66">
        <v>57.9166666666667</v>
      </c>
      <c r="K9" s="67">
        <v>20.758333333333301</v>
      </c>
      <c r="L9" s="68">
        <v>34.799999999999997</v>
      </c>
      <c r="M9" s="65">
        <v>153.16636851520599</v>
      </c>
      <c r="N9" s="64">
        <v>9.80322003577818</v>
      </c>
      <c r="O9" s="65">
        <v>42.94</v>
      </c>
      <c r="P9" s="60">
        <v>0.40223613595706598</v>
      </c>
      <c r="Q9" s="69">
        <v>3.74</v>
      </c>
      <c r="R9" s="66">
        <v>90618.815599621696</v>
      </c>
      <c r="S9" s="70">
        <v>1.2799380591878899E-2</v>
      </c>
      <c r="T9" s="65">
        <v>77532.649408026293</v>
      </c>
      <c r="U9" s="71">
        <v>0.61695015239406203</v>
      </c>
      <c r="V9" s="59">
        <v>35.814144736842103</v>
      </c>
      <c r="W9" s="65">
        <v>88.659539473684205</v>
      </c>
      <c r="X9" s="60">
        <v>0.689597039473684</v>
      </c>
    </row>
    <row r="10" spans="1:39" ht="23" x14ac:dyDescent="0.25">
      <c r="A10" s="4" t="s">
        <v>92</v>
      </c>
      <c r="B10" s="59">
        <v>17.649999999999999</v>
      </c>
      <c r="C10" s="60">
        <v>4.5669716162326998E-2</v>
      </c>
      <c r="D10" s="61">
        <v>348</v>
      </c>
      <c r="E10" s="62">
        <v>1.3425601562051299</v>
      </c>
      <c r="F10" s="63">
        <v>4194.9520599999996</v>
      </c>
      <c r="G10" s="64">
        <v>3.1855500821018099</v>
      </c>
      <c r="H10" s="65">
        <v>1976.31</v>
      </c>
      <c r="I10" s="59">
        <v>40.6</v>
      </c>
      <c r="J10" s="66">
        <v>77.1666666666667</v>
      </c>
      <c r="K10" s="67">
        <v>19.266666666666701</v>
      </c>
      <c r="L10" s="68">
        <v>41.9</v>
      </c>
      <c r="M10" s="65">
        <v>346.740940676506</v>
      </c>
      <c r="N10" s="64">
        <v>15.184057887785</v>
      </c>
      <c r="O10" s="65">
        <v>43.16</v>
      </c>
      <c r="P10" s="60">
        <v>0.393419284442658</v>
      </c>
      <c r="Q10" s="69">
        <v>2.5175981971661501</v>
      </c>
      <c r="R10" s="66">
        <v>74898.093241870694</v>
      </c>
      <c r="S10" s="70">
        <v>2.1679518127863701E-2</v>
      </c>
      <c r="T10" s="65">
        <v>61432.4279436664</v>
      </c>
      <c r="U10" s="71">
        <v>5.3126633660321696</v>
      </c>
      <c r="V10" s="59">
        <v>29.488623035421099</v>
      </c>
      <c r="W10" s="65">
        <v>87.658925639221195</v>
      </c>
      <c r="X10" s="60">
        <v>0.68257095941824997</v>
      </c>
    </row>
    <row r="11" spans="1:39" ht="23" x14ac:dyDescent="0.25">
      <c r="A11" s="4" t="s">
        <v>93</v>
      </c>
      <c r="B11" s="59">
        <v>20.25</v>
      </c>
      <c r="C11" s="60">
        <v>2.4379659058075698E-2</v>
      </c>
      <c r="D11" s="61">
        <v>586</v>
      </c>
      <c r="E11" s="62">
        <v>2.18848276580235</v>
      </c>
      <c r="F11" s="63">
        <v>2292.0302109999998</v>
      </c>
      <c r="G11" s="64">
        <v>2.3721467783877501</v>
      </c>
      <c r="H11" s="65">
        <v>1323</v>
      </c>
      <c r="I11" s="59">
        <v>35.299999999999997</v>
      </c>
      <c r="J11" s="66">
        <v>77</v>
      </c>
      <c r="K11" s="67">
        <v>17.616666666666699</v>
      </c>
      <c r="L11" s="68">
        <v>41.1</v>
      </c>
      <c r="M11" s="65">
        <v>697.25085910652899</v>
      </c>
      <c r="N11" s="64">
        <v>21.555763823805101</v>
      </c>
      <c r="O11" s="65">
        <v>43.51</v>
      </c>
      <c r="P11" s="60">
        <v>0.370150994480891</v>
      </c>
      <c r="Q11" s="69">
        <v>3.2249522186658099</v>
      </c>
      <c r="R11" s="66">
        <v>80485.204658225601</v>
      </c>
      <c r="S11" s="70">
        <v>1.5162325559930001E-2</v>
      </c>
      <c r="T11" s="65">
        <v>79402.608209462604</v>
      </c>
      <c r="U11" s="71">
        <v>12.787952585671301</v>
      </c>
      <c r="V11" s="59">
        <v>30.453626119618601</v>
      </c>
      <c r="W11" s="65">
        <v>81.248194163536496</v>
      </c>
      <c r="X11" s="60">
        <v>0.70138688240392999</v>
      </c>
    </row>
    <row r="12" spans="1:39" ht="23" x14ac:dyDescent="0.25">
      <c r="A12" s="4" t="s">
        <v>94</v>
      </c>
      <c r="B12" s="59">
        <v>18.36</v>
      </c>
      <c r="C12" s="60">
        <v>2.5782972641894601E-2</v>
      </c>
      <c r="D12" s="61">
        <v>242</v>
      </c>
      <c r="E12" s="62">
        <v>1.502880397442</v>
      </c>
      <c r="F12" s="63">
        <v>7963.3798129999996</v>
      </c>
      <c r="G12" s="64">
        <v>2.5969783585136801</v>
      </c>
      <c r="H12" s="65">
        <v>2408.98</v>
      </c>
      <c r="I12" s="59">
        <v>34.200000000000003</v>
      </c>
      <c r="J12" s="66">
        <v>69.6666666666667</v>
      </c>
      <c r="K12" s="67">
        <v>18.308333333333302</v>
      </c>
      <c r="L12" s="68">
        <v>40.299999999999997</v>
      </c>
      <c r="M12" s="65">
        <v>499.011680143756</v>
      </c>
      <c r="N12" s="64">
        <v>15.2053274139845</v>
      </c>
      <c r="O12" s="65">
        <v>41.62</v>
      </c>
      <c r="P12" s="60">
        <v>0.38209978330955002</v>
      </c>
      <c r="Q12" s="69">
        <v>2.73</v>
      </c>
      <c r="R12" s="66">
        <v>77314.410136928695</v>
      </c>
      <c r="S12" s="70">
        <v>1.54633106696003E-2</v>
      </c>
      <c r="T12" s="65">
        <v>76048.132816392404</v>
      </c>
      <c r="U12" s="71">
        <v>5.2989572477074303</v>
      </c>
      <c r="V12" s="59">
        <v>30.808493262556102</v>
      </c>
      <c r="W12" s="65">
        <v>88.715802368313604</v>
      </c>
      <c r="X12" s="60">
        <v>0.65970804409963202</v>
      </c>
    </row>
    <row r="13" spans="1:39" ht="23" x14ac:dyDescent="0.25">
      <c r="A13" s="4" t="s">
        <v>95</v>
      </c>
      <c r="B13" s="59">
        <v>18.809999999999999</v>
      </c>
      <c r="C13" s="60">
        <v>0.10251475121092</v>
      </c>
      <c r="D13" s="61">
        <v>139</v>
      </c>
      <c r="E13" s="62">
        <v>1.80868826942125</v>
      </c>
      <c r="F13" s="63">
        <v>1495.9483419999999</v>
      </c>
      <c r="G13" s="64">
        <v>2.37340378687803</v>
      </c>
      <c r="H13" s="65">
        <v>392.77</v>
      </c>
      <c r="I13" s="59">
        <v>25.1</v>
      </c>
      <c r="J13" s="66">
        <v>70.3333333333333</v>
      </c>
      <c r="K13" s="67">
        <v>16.925000000000001</v>
      </c>
      <c r="L13" s="68">
        <v>44.2</v>
      </c>
      <c r="M13" s="65">
        <v>463.93094665346001</v>
      </c>
      <c r="N13" s="64">
        <v>15.084194141785799</v>
      </c>
      <c r="O13" s="65">
        <v>41.72</v>
      </c>
      <c r="P13" s="60">
        <v>0.39096929390123097</v>
      </c>
      <c r="Q13" s="69">
        <v>3.3463281269777001</v>
      </c>
      <c r="R13" s="66">
        <v>74589.104645714804</v>
      </c>
      <c r="S13" s="70">
        <v>3.1241555387881901E-2</v>
      </c>
      <c r="T13" s="65">
        <v>69680.547451237304</v>
      </c>
      <c r="U13" s="71">
        <v>8.3498569899454296</v>
      </c>
      <c r="V13" s="59">
        <v>32.686041391457501</v>
      </c>
      <c r="W13" s="65">
        <v>93.579920739762201</v>
      </c>
      <c r="X13" s="60">
        <v>0.71305592250110095</v>
      </c>
    </row>
    <row r="14" spans="1:39" ht="23" x14ac:dyDescent="0.25">
      <c r="A14" s="4" t="s">
        <v>96</v>
      </c>
      <c r="B14" s="59">
        <v>19.850000000000001</v>
      </c>
      <c r="C14" s="60">
        <v>4.1289682539682501E-2</v>
      </c>
      <c r="D14" s="61">
        <v>521</v>
      </c>
      <c r="E14" s="62">
        <v>1.7723460604723</v>
      </c>
      <c r="F14" s="63">
        <v>2256.0665119999999</v>
      </c>
      <c r="G14" s="64">
        <v>1.6810966810966801</v>
      </c>
      <c r="H14" s="65">
        <v>758.01</v>
      </c>
      <c r="I14" s="59">
        <v>29.8</v>
      </c>
      <c r="J14" s="66">
        <v>75.5</v>
      </c>
      <c r="K14" s="67">
        <v>18.941666666666698</v>
      </c>
      <c r="L14" s="68">
        <v>44.7</v>
      </c>
      <c r="M14" s="65">
        <v>428.73537850364198</v>
      </c>
      <c r="N14" s="64">
        <v>13.197969543147201</v>
      </c>
      <c r="O14" s="65">
        <v>42.62</v>
      </c>
      <c r="P14" s="60">
        <v>0.37801368351357301</v>
      </c>
      <c r="Q14" s="69">
        <v>3.1346843059507901</v>
      </c>
      <c r="R14" s="66">
        <v>67699.866095086996</v>
      </c>
      <c r="S14" s="70">
        <v>2.0208241713999001E-2</v>
      </c>
      <c r="T14" s="65">
        <v>66415.852202543305</v>
      </c>
      <c r="U14" s="71">
        <v>2.69747966825026</v>
      </c>
      <c r="V14" s="59">
        <v>30.465367965367999</v>
      </c>
      <c r="W14" s="65">
        <v>77.8427128427128</v>
      </c>
      <c r="X14" s="60">
        <v>0.66498917748917796</v>
      </c>
    </row>
    <row r="15" spans="1:39" ht="23" x14ac:dyDescent="0.25">
      <c r="A15" s="4" t="s">
        <v>97</v>
      </c>
      <c r="B15" s="59">
        <v>20.03</v>
      </c>
      <c r="C15" s="60">
        <v>3.2054080310880799E-2</v>
      </c>
      <c r="D15" s="61">
        <v>573</v>
      </c>
      <c r="E15" s="62">
        <v>1.77111111111111</v>
      </c>
      <c r="F15" s="63">
        <v>5056.1895439999998</v>
      </c>
      <c r="G15" s="64">
        <v>3.1509067357512999</v>
      </c>
      <c r="H15" s="65">
        <v>4088</v>
      </c>
      <c r="I15" s="59">
        <v>31.9</v>
      </c>
      <c r="J15" s="66">
        <v>77.75</v>
      </c>
      <c r="K15" s="67">
        <v>18.633333333333301</v>
      </c>
      <c r="L15" s="68">
        <v>37.200000000000003</v>
      </c>
      <c r="M15" s="65">
        <v>370.24154589372</v>
      </c>
      <c r="N15" s="64">
        <v>9.3623188405797109</v>
      </c>
      <c r="O15" s="65">
        <v>39.130000000000003</v>
      </c>
      <c r="P15" s="60">
        <v>0.36031980676328501</v>
      </c>
      <c r="Q15" s="69">
        <v>3.5688577505480099</v>
      </c>
      <c r="R15" s="66">
        <v>74483.548684297406</v>
      </c>
      <c r="S15" s="70">
        <v>2.3125079211804799E-2</v>
      </c>
      <c r="T15" s="65">
        <v>64010.304268915199</v>
      </c>
      <c r="U15" s="71">
        <v>3.91381755635354</v>
      </c>
      <c r="V15" s="59">
        <v>30.8419689119171</v>
      </c>
      <c r="W15" s="65">
        <v>86.654792746113998</v>
      </c>
      <c r="X15" s="60">
        <v>0.70854922279792698</v>
      </c>
    </row>
    <row r="16" spans="1:39" ht="23" x14ac:dyDescent="0.25">
      <c r="A16" s="4" t="s">
        <v>98</v>
      </c>
      <c r="B16" s="59">
        <v>19.190000000000001</v>
      </c>
      <c r="C16" s="60">
        <v>4.0296225816682497E-2</v>
      </c>
      <c r="D16" s="61">
        <v>248</v>
      </c>
      <c r="E16" s="62">
        <v>2.2621880998080601</v>
      </c>
      <c r="F16" s="63">
        <v>3751.3343709999999</v>
      </c>
      <c r="G16" s="64">
        <v>3.8471297177291501</v>
      </c>
      <c r="H16" s="65">
        <v>1052</v>
      </c>
      <c r="I16" s="59">
        <v>40.4</v>
      </c>
      <c r="J16" s="66">
        <v>76.4166666666667</v>
      </c>
      <c r="K16" s="67">
        <v>19.066666666666698</v>
      </c>
      <c r="L16" s="68">
        <v>40</v>
      </c>
      <c r="M16" s="65">
        <v>724.01791426743398</v>
      </c>
      <c r="N16" s="64">
        <v>25.617402431222001</v>
      </c>
      <c r="O16" s="65">
        <v>44.11</v>
      </c>
      <c r="P16" s="60">
        <v>0.40903518873960298</v>
      </c>
      <c r="Q16" s="69">
        <v>3.49546221338435</v>
      </c>
      <c r="R16" s="66">
        <v>79027.422597554905</v>
      </c>
      <c r="S16" s="70">
        <v>1.5149579220464201E-2</v>
      </c>
      <c r="T16" s="65">
        <v>82190.870790098299</v>
      </c>
      <c r="U16" s="71">
        <v>2.0153239114522199</v>
      </c>
      <c r="V16" s="59">
        <v>29.191246431969599</v>
      </c>
      <c r="W16" s="65">
        <v>84.0152235965747</v>
      </c>
      <c r="X16" s="60">
        <v>0.71484300666032397</v>
      </c>
    </row>
    <row r="17" spans="1:24" ht="23" x14ac:dyDescent="0.25">
      <c r="A17" s="4" t="s">
        <v>99</v>
      </c>
      <c r="B17" s="59">
        <v>20.69</v>
      </c>
      <c r="C17" s="60">
        <v>0.107430888448369</v>
      </c>
      <c r="D17" s="61">
        <v>445</v>
      </c>
      <c r="E17" s="62">
        <v>1.8736193465876101</v>
      </c>
      <c r="F17" s="63">
        <v>3815.425851</v>
      </c>
      <c r="G17" s="64">
        <v>1.2200396467832</v>
      </c>
      <c r="H17" s="65">
        <v>1581.3507</v>
      </c>
      <c r="I17" s="59">
        <v>35.299999999999997</v>
      </c>
      <c r="J17" s="66">
        <v>76.8333333333333</v>
      </c>
      <c r="K17" s="67">
        <v>18.574999999999999</v>
      </c>
      <c r="L17" s="68">
        <v>42.7</v>
      </c>
      <c r="M17" s="65">
        <v>467.87582839204703</v>
      </c>
      <c r="N17" s="64">
        <v>5.9934891291710297</v>
      </c>
      <c r="O17" s="65">
        <v>47.67</v>
      </c>
      <c r="P17" s="60">
        <v>0.41274270433670501</v>
      </c>
      <c r="Q17" s="69">
        <v>3.6900026720088399</v>
      </c>
      <c r="R17" s="66">
        <v>76098.607813672294</v>
      </c>
      <c r="S17" s="70">
        <v>2.3812470908041498E-2</v>
      </c>
      <c r="T17" s="65">
        <v>69150.796989300798</v>
      </c>
      <c r="U17" s="71">
        <v>4.6610437729244598</v>
      </c>
      <c r="V17" s="59">
        <v>30.201838169039501</v>
      </c>
      <c r="W17" s="65">
        <v>84.885564966660695</v>
      </c>
      <c r="X17" s="60">
        <v>0.64833303297891498</v>
      </c>
    </row>
    <row r="18" spans="1:24" ht="23" x14ac:dyDescent="0.25">
      <c r="A18" s="4" t="s">
        <v>100</v>
      </c>
      <c r="B18" s="59">
        <v>20.02</v>
      </c>
      <c r="C18" s="60">
        <v>3.15721040189125E-2</v>
      </c>
      <c r="D18" s="61">
        <v>415</v>
      </c>
      <c r="E18" s="62">
        <v>1.9928801102434499</v>
      </c>
      <c r="F18" s="63">
        <v>3387.4053279999998</v>
      </c>
      <c r="G18" s="64">
        <v>3.5258358662614002</v>
      </c>
      <c r="H18" s="65">
        <v>794.51800000000003</v>
      </c>
      <c r="I18" s="59">
        <v>37.700000000000003</v>
      </c>
      <c r="J18" s="66">
        <v>75.75</v>
      </c>
      <c r="K18" s="67">
        <v>18.566666666666698</v>
      </c>
      <c r="L18" s="68">
        <v>38.6</v>
      </c>
      <c r="M18" s="65">
        <v>631.936150666054</v>
      </c>
      <c r="N18" s="64">
        <v>33.187873220027598</v>
      </c>
      <c r="O18" s="65">
        <v>43.01</v>
      </c>
      <c r="P18" s="60">
        <v>0.37758842443729901</v>
      </c>
      <c r="Q18" s="69">
        <v>3.0700087156493199</v>
      </c>
      <c r="R18" s="66">
        <v>76313.378838342207</v>
      </c>
      <c r="S18" s="70">
        <v>2.3839536291432002E-2</v>
      </c>
      <c r="T18" s="65">
        <v>80738.106710661901</v>
      </c>
      <c r="U18" s="71">
        <v>2.8877842385555601</v>
      </c>
      <c r="V18" s="59">
        <v>30.5369807497467</v>
      </c>
      <c r="W18" s="65">
        <v>72.816616008105399</v>
      </c>
      <c r="X18" s="60">
        <v>0.665602836879433</v>
      </c>
    </row>
    <row r="19" spans="1:24" ht="23" x14ac:dyDescent="0.25">
      <c r="A19" s="4" t="s">
        <v>101</v>
      </c>
      <c r="B19" s="59">
        <v>15.76</v>
      </c>
      <c r="C19" s="60">
        <v>3.2075573841489798E-2</v>
      </c>
      <c r="D19" s="61">
        <v>348</v>
      </c>
      <c r="E19" s="62">
        <v>1.36615628299894</v>
      </c>
      <c r="F19" s="63">
        <v>8546.4377779999995</v>
      </c>
      <c r="G19" s="64">
        <v>3.00563014291901</v>
      </c>
      <c r="H19" s="65">
        <v>1795</v>
      </c>
      <c r="I19" s="59">
        <v>43.9</v>
      </c>
      <c r="J19" s="66">
        <v>79.6666666666667</v>
      </c>
      <c r="K19" s="67">
        <v>18.616666666666699</v>
      </c>
      <c r="L19" s="68">
        <v>41.3</v>
      </c>
      <c r="M19" s="65">
        <v>406.44139387539599</v>
      </c>
      <c r="N19" s="64">
        <v>10.966209081309399</v>
      </c>
      <c r="O19" s="65">
        <v>41.48</v>
      </c>
      <c r="P19" s="60">
        <v>0.37195459345301002</v>
      </c>
      <c r="Q19" s="69">
        <v>3.10911485192279</v>
      </c>
      <c r="R19" s="66">
        <v>79587.858729519605</v>
      </c>
      <c r="S19" s="70">
        <v>1.9481860296863301E-2</v>
      </c>
      <c r="T19" s="65">
        <v>50457.929767037698</v>
      </c>
      <c r="U19" s="71">
        <v>2.9146634615384599</v>
      </c>
      <c r="V19" s="59">
        <v>27.9969683845821</v>
      </c>
      <c r="W19" s="65">
        <v>80.944131658726704</v>
      </c>
      <c r="X19" s="60">
        <v>0.65608488523170205</v>
      </c>
    </row>
    <row r="20" spans="1:24" ht="23" x14ac:dyDescent="0.25">
      <c r="A20" s="4" t="s">
        <v>102</v>
      </c>
      <c r="B20" s="59">
        <v>19.57</v>
      </c>
      <c r="C20" s="60">
        <v>7.4101914762198906E-2</v>
      </c>
      <c r="D20" s="61">
        <v>511</v>
      </c>
      <c r="E20" s="62">
        <v>2.5729745979257501</v>
      </c>
      <c r="F20" s="63">
        <v>2468.6884359999999</v>
      </c>
      <c r="G20" s="64">
        <v>1.67387276096356</v>
      </c>
      <c r="H20" s="65">
        <v>992.39</v>
      </c>
      <c r="I20" s="59">
        <v>33.799999999999997</v>
      </c>
      <c r="J20" s="66">
        <v>78.3333333333333</v>
      </c>
      <c r="K20" s="67">
        <v>18.733333333333299</v>
      </c>
      <c r="L20" s="68">
        <v>37.9</v>
      </c>
      <c r="M20" s="65">
        <v>691.14685104464104</v>
      </c>
      <c r="N20" s="64">
        <v>18.1121298662258</v>
      </c>
      <c r="O20" s="65">
        <v>44.47</v>
      </c>
      <c r="P20" s="60">
        <v>0.39526379077108098</v>
      </c>
      <c r="Q20" s="69">
        <v>3.3224626449252899</v>
      </c>
      <c r="R20" s="66">
        <v>68250.846953564804</v>
      </c>
      <c r="S20" s="70">
        <v>3.1448400724200402E-2</v>
      </c>
      <c r="T20" s="65">
        <v>67822.318626658394</v>
      </c>
      <c r="U20" s="71">
        <v>8.4819862177372993</v>
      </c>
      <c r="V20" s="59">
        <v>21.2600370599135</v>
      </c>
      <c r="W20" s="65">
        <v>67.294626312538597</v>
      </c>
      <c r="X20" s="60">
        <v>0.70826127239036396</v>
      </c>
    </row>
    <row r="21" spans="1:24" ht="23" x14ac:dyDescent="0.25">
      <c r="A21" s="4" t="s">
        <v>103</v>
      </c>
      <c r="B21" s="59">
        <v>17.96</v>
      </c>
      <c r="C21" s="60">
        <v>7.2754621848739501E-2</v>
      </c>
      <c r="D21" s="61">
        <v>323</v>
      </c>
      <c r="E21" s="62">
        <v>2.02372858761581</v>
      </c>
      <c r="F21" s="63">
        <v>1519.8246099999999</v>
      </c>
      <c r="G21" s="64">
        <v>1.69747899159664</v>
      </c>
      <c r="H21" s="65">
        <v>2093.48</v>
      </c>
      <c r="I21" s="59">
        <v>30.1</v>
      </c>
      <c r="J21" s="66">
        <v>70.75</v>
      </c>
      <c r="K21" s="67">
        <v>19.05</v>
      </c>
      <c r="L21" s="68">
        <v>41</v>
      </c>
      <c r="M21" s="65">
        <v>395.89415450243303</v>
      </c>
      <c r="N21" s="64">
        <v>8.6982603479304093</v>
      </c>
      <c r="O21" s="65">
        <v>42</v>
      </c>
      <c r="P21" s="60">
        <v>0.40833300006665302</v>
      </c>
      <c r="Q21" s="69">
        <v>3.4149940113231101</v>
      </c>
      <c r="R21" s="66">
        <v>75703.140626078399</v>
      </c>
      <c r="S21" s="70">
        <v>2.5418185014704001E-2</v>
      </c>
      <c r="T21" s="65">
        <v>63522.448680864603</v>
      </c>
      <c r="U21" s="71">
        <v>5.6850147040020502</v>
      </c>
      <c r="V21" s="59">
        <v>25.938375350140099</v>
      </c>
      <c r="W21" s="65">
        <v>83.202614379085006</v>
      </c>
      <c r="X21" s="60">
        <v>0.61779645191409904</v>
      </c>
    </row>
    <row r="22" spans="1:24" ht="23" x14ac:dyDescent="0.25">
      <c r="A22" s="4" t="s">
        <v>104</v>
      </c>
      <c r="B22" s="59">
        <v>17.010000000000002</v>
      </c>
      <c r="C22" s="60">
        <v>2.6862526168876501E-2</v>
      </c>
      <c r="D22" s="61">
        <v>95</v>
      </c>
      <c r="E22" s="62">
        <v>1.7545118504022601</v>
      </c>
      <c r="F22" s="63">
        <v>2480.9978299999998</v>
      </c>
      <c r="G22" s="64">
        <v>2.1493370551291</v>
      </c>
      <c r="H22" s="65">
        <v>694.6</v>
      </c>
      <c r="I22" s="59">
        <v>29.2</v>
      </c>
      <c r="J22" s="66">
        <v>77.8333333333333</v>
      </c>
      <c r="K22" s="67">
        <v>17.533333333333299</v>
      </c>
      <c r="L22" s="68">
        <v>43.6</v>
      </c>
      <c r="M22" s="65">
        <v>549.14111763426797</v>
      </c>
      <c r="N22" s="64">
        <v>22.3961730811046</v>
      </c>
      <c r="O22" s="65">
        <v>40.15</v>
      </c>
      <c r="P22" s="60">
        <v>0.37377473363774699</v>
      </c>
      <c r="Q22" s="69">
        <v>3.7283839314296201</v>
      </c>
      <c r="R22" s="66">
        <v>74344.413973258605</v>
      </c>
      <c r="S22" s="70">
        <v>2.3959180507695198E-2</v>
      </c>
      <c r="T22" s="65">
        <v>78496.991636175793</v>
      </c>
      <c r="U22" s="71">
        <v>3.5789077129339302</v>
      </c>
      <c r="V22" s="59">
        <v>35.785066294487102</v>
      </c>
      <c r="W22" s="65">
        <v>103.635729239358</v>
      </c>
      <c r="X22" s="60">
        <v>0.69563852058618303</v>
      </c>
    </row>
    <row r="23" spans="1:24" ht="23" x14ac:dyDescent="0.25">
      <c r="A23" s="4" t="s">
        <v>105</v>
      </c>
      <c r="B23" s="59">
        <v>19.670000000000002</v>
      </c>
      <c r="C23" s="60">
        <v>0.111899548532731</v>
      </c>
      <c r="D23" s="61">
        <v>216</v>
      </c>
      <c r="E23" s="62">
        <v>2.3686493184634401</v>
      </c>
      <c r="F23" s="63">
        <v>1321.1303350000001</v>
      </c>
      <c r="G23" s="64">
        <v>1.9450714823175299</v>
      </c>
      <c r="H23" s="65">
        <v>1617.55</v>
      </c>
      <c r="I23" s="59">
        <v>27.9</v>
      </c>
      <c r="J23" s="66">
        <v>74.0833333333333</v>
      </c>
      <c r="K23" s="67">
        <v>17.25</v>
      </c>
      <c r="L23" s="68">
        <v>36.1</v>
      </c>
      <c r="M23" s="65">
        <v>505.83952912019799</v>
      </c>
      <c r="N23" s="64">
        <v>17.5030978934325</v>
      </c>
      <c r="O23" s="65">
        <v>43.85</v>
      </c>
      <c r="P23" s="60">
        <v>0.42030669144981397</v>
      </c>
      <c r="Q23" s="69">
        <v>3.5098529730880599</v>
      </c>
      <c r="R23" s="66">
        <v>70609.604153867505</v>
      </c>
      <c r="S23" s="70">
        <v>4.8895047123567001E-2</v>
      </c>
      <c r="T23" s="65">
        <v>56153.195723890101</v>
      </c>
      <c r="U23" s="71">
        <v>18.168389955686902</v>
      </c>
      <c r="V23" s="59">
        <v>27.118133935289698</v>
      </c>
      <c r="W23" s="65">
        <v>85.887885628291897</v>
      </c>
      <c r="X23" s="60">
        <v>0.68459367945823901</v>
      </c>
    </row>
    <row r="24" spans="1:24" ht="23" x14ac:dyDescent="0.25">
      <c r="A24" s="4" t="s">
        <v>106</v>
      </c>
      <c r="B24" s="72">
        <v>22.62</v>
      </c>
      <c r="C24" s="73">
        <v>5.3468929043631597E-2</v>
      </c>
      <c r="D24" s="74">
        <v>395</v>
      </c>
      <c r="E24" s="75">
        <v>2.4037037037036999</v>
      </c>
      <c r="F24" s="76">
        <v>6103.7364829999997</v>
      </c>
      <c r="G24" s="77">
        <v>1.5469369766416901</v>
      </c>
      <c r="H24" s="78">
        <v>854</v>
      </c>
      <c r="I24" s="72">
        <v>32.700000000000003</v>
      </c>
      <c r="J24" s="79">
        <v>74.8333333333333</v>
      </c>
      <c r="K24" s="80">
        <v>18.941666666666698</v>
      </c>
      <c r="L24" s="81">
        <v>35.9</v>
      </c>
      <c r="M24" s="78">
        <v>531.96296296296305</v>
      </c>
      <c r="N24" s="77">
        <v>16.7777777777778</v>
      </c>
      <c r="O24" s="78">
        <v>41.37</v>
      </c>
      <c r="P24" s="73">
        <v>0.37347962962962999</v>
      </c>
      <c r="Q24" s="82">
        <v>3.5517752778292699</v>
      </c>
      <c r="R24" s="79">
        <v>73758.151406146804</v>
      </c>
      <c r="S24" s="83">
        <v>3.2774109854876797E-2</v>
      </c>
      <c r="T24" s="78">
        <v>66454.570503763796</v>
      </c>
      <c r="U24" s="84">
        <v>2.4964141073236599</v>
      </c>
      <c r="V24" s="72">
        <v>28.378140149845699</v>
      </c>
      <c r="W24" s="78">
        <v>100.044072278537</v>
      </c>
      <c r="X24" s="73">
        <v>0.70123402379902999</v>
      </c>
    </row>
    <row r="26" spans="1:24" ht="23" x14ac:dyDescent="0.25">
      <c r="A26" s="85"/>
    </row>
    <row r="27" spans="1:24" ht="23" x14ac:dyDescent="0.25">
      <c r="A27" s="85"/>
    </row>
    <row r="28" spans="1:24" ht="23" x14ac:dyDescent="0.25">
      <c r="A28" s="85"/>
    </row>
    <row r="29" spans="1:24" ht="23" x14ac:dyDescent="0.25">
      <c r="A29" s="85"/>
    </row>
    <row r="30" spans="1:24" ht="23" x14ac:dyDescent="0.25">
      <c r="A30" s="15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</row>
    <row r="31" spans="1:24" ht="23" x14ac:dyDescent="0.25">
      <c r="A31" s="4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</row>
    <row r="32" spans="1:24" ht="23" x14ac:dyDescent="0.25">
      <c r="A32" s="4"/>
    </row>
    <row r="33" spans="1:1" ht="23" x14ac:dyDescent="0.25">
      <c r="A33" s="4"/>
    </row>
    <row r="34" spans="1:1" ht="23" x14ac:dyDescent="0.25">
      <c r="A34" s="4"/>
    </row>
    <row r="35" spans="1:1" ht="23" x14ac:dyDescent="0.25">
      <c r="A35" s="4"/>
    </row>
    <row r="36" spans="1:1" ht="23" x14ac:dyDescent="0.25">
      <c r="A36" s="4"/>
    </row>
    <row r="37" spans="1:1" ht="23" x14ac:dyDescent="0.25">
      <c r="A37" s="4"/>
    </row>
    <row r="38" spans="1:1" ht="23" x14ac:dyDescent="0.25">
      <c r="A38" s="4"/>
    </row>
    <row r="39" spans="1:1" ht="23" x14ac:dyDescent="0.25">
      <c r="A39" s="4"/>
    </row>
    <row r="40" spans="1:1" ht="23" x14ac:dyDescent="0.25">
      <c r="A40" s="4"/>
    </row>
    <row r="41" spans="1:1" ht="23" x14ac:dyDescent="0.25">
      <c r="A41" s="4"/>
    </row>
    <row r="42" spans="1:1" ht="23" x14ac:dyDescent="0.25">
      <c r="A42" s="4"/>
    </row>
    <row r="43" spans="1:1" ht="23" x14ac:dyDescent="0.25">
      <c r="A43" s="4"/>
    </row>
    <row r="44" spans="1:1" ht="23" x14ac:dyDescent="0.25">
      <c r="A44" s="4"/>
    </row>
    <row r="45" spans="1:1" ht="23" x14ac:dyDescent="0.25">
      <c r="A45" s="4"/>
    </row>
    <row r="46" spans="1:1" ht="23" x14ac:dyDescent="0.25">
      <c r="A46" s="4"/>
    </row>
    <row r="47" spans="1:1" ht="23" x14ac:dyDescent="0.25">
      <c r="A47" s="4"/>
    </row>
    <row r="48" spans="1:1" ht="23" x14ac:dyDescent="0.25">
      <c r="A48" s="4"/>
    </row>
    <row r="49" spans="1:1" ht="23" x14ac:dyDescent="0.25">
      <c r="A49" s="4"/>
    </row>
  </sheetData>
  <mergeCells count="9">
    <mergeCell ref="B1:Q1"/>
    <mergeCell ref="R1:AM1"/>
    <mergeCell ref="B2:D2"/>
    <mergeCell ref="E2:H2"/>
    <mergeCell ref="I2:N2"/>
    <mergeCell ref="O2:Q2"/>
    <mergeCell ref="R2:W2"/>
    <mergeCell ref="X2:AE2"/>
    <mergeCell ref="AF2:AM2"/>
  </mergeCells>
  <phoneticPr fontId="9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activeCell="E16" sqref="E16"/>
    </sheetView>
  </sheetViews>
  <sheetFormatPr defaultColWidth="8.90625" defaultRowHeight="14" x14ac:dyDescent="0.25"/>
  <cols>
    <col min="1" max="1" width="11.26953125" customWidth="1"/>
    <col min="2" max="2" width="43.6328125" customWidth="1"/>
  </cols>
  <sheetData>
    <row r="1" spans="1:2" x14ac:dyDescent="0.25">
      <c r="B1" s="169" t="s">
        <v>155</v>
      </c>
    </row>
    <row r="2" spans="1:2" x14ac:dyDescent="0.25">
      <c r="A2" t="s">
        <v>89</v>
      </c>
      <c r="B2" s="1">
        <v>17260</v>
      </c>
    </row>
    <row r="3" spans="1:2" x14ac:dyDescent="0.25">
      <c r="A3" t="s">
        <v>90</v>
      </c>
      <c r="B3" s="1">
        <v>373</v>
      </c>
    </row>
    <row r="4" spans="1:2" x14ac:dyDescent="0.25">
      <c r="A4" t="s">
        <v>91</v>
      </c>
      <c r="B4" s="1">
        <v>87</v>
      </c>
    </row>
    <row r="5" spans="1:2" x14ac:dyDescent="0.25">
      <c r="A5" t="s">
        <v>92</v>
      </c>
      <c r="B5" s="1">
        <v>813</v>
      </c>
    </row>
    <row r="6" spans="1:2" x14ac:dyDescent="0.25">
      <c r="A6" t="s">
        <v>93</v>
      </c>
      <c r="B6" s="1">
        <v>2834</v>
      </c>
    </row>
    <row r="7" spans="1:2" x14ac:dyDescent="0.25">
      <c r="A7" t="s">
        <v>94</v>
      </c>
      <c r="B7" s="1">
        <v>1048</v>
      </c>
    </row>
    <row r="8" spans="1:2" x14ac:dyDescent="0.25">
      <c r="A8" t="s">
        <v>95</v>
      </c>
      <c r="B8" s="1">
        <v>787</v>
      </c>
    </row>
    <row r="9" spans="1:2" x14ac:dyDescent="0.25">
      <c r="A9" t="s">
        <v>96</v>
      </c>
      <c r="B9" s="1">
        <v>551</v>
      </c>
    </row>
    <row r="10" spans="1:2" x14ac:dyDescent="0.25">
      <c r="A10" t="s">
        <v>97</v>
      </c>
      <c r="B10" s="1">
        <v>1450</v>
      </c>
    </row>
    <row r="11" spans="1:2" x14ac:dyDescent="0.25">
      <c r="A11" t="s">
        <v>98</v>
      </c>
      <c r="B11" s="1">
        <v>458</v>
      </c>
    </row>
    <row r="12" spans="1:2" x14ac:dyDescent="0.25">
      <c r="A12" t="s">
        <v>99</v>
      </c>
      <c r="B12" s="1">
        <v>852</v>
      </c>
    </row>
    <row r="13" spans="1:2" x14ac:dyDescent="0.25">
      <c r="A13" t="s">
        <v>100</v>
      </c>
      <c r="B13" s="1">
        <v>834</v>
      </c>
    </row>
    <row r="14" spans="1:2" x14ac:dyDescent="0.25">
      <c r="A14" t="s">
        <v>101</v>
      </c>
      <c r="B14" s="1">
        <v>1178</v>
      </c>
    </row>
    <row r="15" spans="1:2" x14ac:dyDescent="0.25">
      <c r="A15" t="s">
        <v>102</v>
      </c>
      <c r="B15" s="1">
        <v>1551</v>
      </c>
    </row>
    <row r="16" spans="1:2" x14ac:dyDescent="0.25">
      <c r="A16" t="s">
        <v>103</v>
      </c>
      <c r="B16" s="1">
        <v>349</v>
      </c>
    </row>
    <row r="17" spans="1:2" x14ac:dyDescent="0.25">
      <c r="A17" t="s">
        <v>104</v>
      </c>
      <c r="B17" s="1">
        <v>101</v>
      </c>
    </row>
    <row r="18" spans="1:2" x14ac:dyDescent="0.25">
      <c r="A18" t="s">
        <v>107</v>
      </c>
      <c r="B18" s="1">
        <v>883</v>
      </c>
    </row>
    <row r="19" spans="1:2" x14ac:dyDescent="0.25">
      <c r="A19" t="s">
        <v>106</v>
      </c>
      <c r="B19" s="1">
        <v>236</v>
      </c>
    </row>
  </sheetData>
  <phoneticPr fontId="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Collinearity Test</vt:lpstr>
      <vt:lpstr>Data standardization</vt:lpstr>
      <vt:lpstr>Confirmed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一恒 丁</cp:lastModifiedBy>
  <cp:lastPrinted>2025-12-04T14:28:05Z</cp:lastPrinted>
  <dcterms:created xsi:type="dcterms:W3CDTF">2025-08-05T04:13:00Z</dcterms:created>
  <dcterms:modified xsi:type="dcterms:W3CDTF">2025-12-04T14:28:21Z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E355B0DD468840E1ADF39153D648230A_13</vt:lpwstr>
  </property>
  <property fmtid="{D5CDD505-2E9C-101B-9397-08002B2CF9AE}" pid="3" name="KSOProductBuildVer">
    <vt:lpwstr>2052-12.1.0.23542</vt:lpwstr>
  </property>
</Properties>
</file>